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Templates Mensagens" sheetId="2" state="visible" r:id="rId4"/>
    <sheet name="Dashboard" sheetId="3" state="visible" r:id="rId5"/>
    <sheet name="Log Ações" sheetId="4" state="visible" r:id="rId6"/>
    <sheet name="Config" sheetId="5" state="visible" r:id="rId7"/>
  </sheets>
  <definedNames>
    <definedName function="false" hidden="true" localSheetId="0" name="_xlnm._FilterDatabase" vbProcedure="false">Pipeline!$A$1:$W$1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<sst xmlns="http://schemas.openxmlformats.org/spreadsheetml/2006/main" count="324" uniqueCount="190">
  <si>
    <t xml:space="preserve">ID</t>
  </si>
  <si>
    <t xml:space="preserve">Vaga</t>
  </si>
  <si>
    <t xml:space="preserve">Nome Completo</t>
  </si>
  <si>
    <t xml:space="preserve">Headline/Cargo Atual</t>
  </si>
  <si>
    <t xml:space="preserve">Empresa Atual</t>
  </si>
  <si>
    <t xml:space="preserve">Localização</t>
  </si>
  <si>
    <t xml:space="preserve">LinkedIn URL</t>
  </si>
  <si>
    <t xml:space="preserve">Experiência (anos)</t>
  </si>
  <si>
    <t xml:space="preserve">Formação</t>
  </si>
  <si>
    <t xml:space="preserve">Skills Relevantes</t>
  </si>
  <si>
    <t xml:space="preserve">Score de Fit (1-10)</t>
  </si>
  <si>
    <t xml:space="preserve">Justificativa do Score</t>
  </si>
  <si>
    <t xml:space="preserve">Status</t>
  </si>
  <si>
    <t xml:space="preserve">Decisão Gestor</t>
  </si>
  <si>
    <t xml:space="preserve">Notas Gestor</t>
  </si>
  <si>
    <t xml:space="preserve">Data Encontrado</t>
  </si>
  <si>
    <t xml:space="preserve">Data Conexão Enviada</t>
  </si>
  <si>
    <t xml:space="preserve">Data Conexão Aceita</t>
  </si>
  <si>
    <t xml:space="preserve">Msg 1 Enviada</t>
  </si>
  <si>
    <t xml:space="preserve">Msg 2 Enviada (Follow-up 1)</t>
  </si>
  <si>
    <t xml:space="preserve">Msg 3 Enviada (Follow-up 2)</t>
  </si>
  <si>
    <t xml:space="preserve">Resposta Recebida</t>
  </si>
  <si>
    <t xml:space="preserve">Tipo Resposta</t>
  </si>
  <si>
    <t xml:space="preserve">Data Entrevista</t>
  </si>
  <si>
    <t xml:space="preserve">Notas</t>
  </si>
  <si>
    <t xml:space="preserve">Business Development</t>
  </si>
  <si>
    <t xml:space="preserve">Henderson Parada Tovar</t>
  </si>
  <si>
    <t xml:space="preserve">Startup Success Program-Digital Natives | SDR/BDR at Google Cloud</t>
  </si>
  <si>
    <t xml:space="preserve">Accenture Brasil</t>
  </si>
  <si>
    <t xml:space="preserve">São Paulo, Brasil</t>
  </si>
  <si>
    <t xml:space="preserve">https://www.linkedin.com/in/henderson-parada-tovar-689a53270/</t>
  </si>
  <si>
    <t xml:space="preserve">Universidad Nacional Experimental del Táchira</t>
  </si>
  <si>
    <t xml:space="preserve">Salesforce, Google Cloud, Lead Generation, BDR, Startups</t>
  </si>
  <si>
    <t xml:space="preserve">BDR em Google Cloud/Accenture com foco em startups. Experiência de ~2 anos em BDR (4 total). São Paulo. Perfil hunter com background tech relevante. Um pouco acima da faixa de 1-3 anos.</t>
  </si>
  <si>
    <t xml:space="preserve">Encontrado</t>
  </si>
  <si>
    <t xml:space="preserve">Pendente</t>
  </si>
  <si>
    <t xml:space="preserve">2026-03-03</t>
  </si>
  <si>
    <t xml:space="preserve">Douglas Souza</t>
  </si>
  <si>
    <t xml:space="preserve">SDR | BDR | Inbound | Outbound | Prospecção | Hunter</t>
  </si>
  <si>
    <t xml:space="preserve">SYOS</t>
  </si>
  <si>
    <t xml:space="preserve">https://www.linkedin.com/in/doug-o-souza/</t>
  </si>
  <si>
    <t xml:space="preserve">UNINOVE</t>
  </si>
  <si>
    <t xml:space="preserve">Comunicação, Vendas, Prospecção, Outbound, Inbound, Hunter</t>
  </si>
  <si>
    <t xml:space="preserve">~3 anos de experiência BDR em múltiplas empresas (SYOS, Alinea Saúde, Ages Bioactive, Start). Perfil hunter com foco outbound. São Paulo. Falta experiência específica em SaaS/B2B tech.</t>
  </si>
  <si>
    <t xml:space="preserve">Paulo Lemes</t>
  </si>
  <si>
    <t xml:space="preserve">Comercial | BDR | SDR | Closer</t>
  </si>
  <si>
    <t xml:space="preserve">TM Mentoring</t>
  </si>
  <si>
    <t xml:space="preserve">https://www.linkedin.com/in/paulolemes/</t>
  </si>
  <si>
    <t xml:space="preserve">Não verificado</t>
  </si>
  <si>
    <t xml:space="preserve">BDR, SDR, Closer, Comercial</t>
  </si>
  <si>
    <t xml:space="preserve">Perfil BDR/SDR/Closer em SP. Experiência estimada de ~2 anos. TM Mentoring é consultoria, não SaaS. Dados limitados — necessário verificar perfil completo.</t>
  </si>
  <si>
    <t xml:space="preserve">Allysson Borges de Moraes</t>
  </si>
  <si>
    <t xml:space="preserve">BDR Sênior | Business Development &amp; Outbound | Vendas B2B &amp; B2B2C</t>
  </si>
  <si>
    <t xml:space="preserve">NewSun Energy Group</t>
  </si>
  <si>
    <t xml:space="preserve">N/A - buscar no LinkedIn</t>
  </si>
  <si>
    <t xml:space="preserve">Outbound, B2B, B2B2C, Pipeline, Parcerias Estratégicas, Energia Renovável, Fintechs</t>
  </si>
  <si>
    <t xml:space="preserve">BDR Sênior com experiência B2B/outbound. São Paulo. Atua no setor de energia renovável (NewSun), não SaaS/tech. Diversidade de setores pode ser positiva.</t>
  </si>
  <si>
    <t xml:space="preserve">Growth Generalist</t>
  </si>
  <si>
    <t xml:space="preserve">Aryane Lopes</t>
  </si>
  <si>
    <t xml:space="preserve">Líder em Marketing &amp; Negócios | Estruturação de operações, expansão e crescimento | SaaS &amp; Tech Startup</t>
  </si>
  <si>
    <t xml:space="preserve">Doozy (ex-Country Manager)</t>
  </si>
  <si>
    <t xml:space="preserve">https://www.linkedin.com/in/aryane-lopes/</t>
  </si>
  <si>
    <t xml:space="preserve">Universidade de São Paulo (USP)</t>
  </si>
  <si>
    <t xml:space="preserve">Gestão de marketing, Campanhas de marketing, SaaS, OTT, B2B, Liderança de equipe</t>
  </si>
  <si>
    <t xml:space="preserve">7+ anos em SaaS/tech (Doozy). USP. Perfil mais marketing operations/gestão do que growth hands-on. Country Manager até dez/2025 — pode estar disponível. Conectada à rede.</t>
  </si>
  <si>
    <t xml:space="preserve">Gisele Campos</t>
  </si>
  <si>
    <t xml:space="preserve">Head of Marketing &amp; Branding | Brand Strategy | Positioning | Growth | Performance | CRM | Digital Marketing</t>
  </si>
  <si>
    <t xml:space="preserve">Gatti</t>
  </si>
  <si>
    <t xml:space="preserve">Growth, Performance, CRM, Digital Marketing, Brand Strategy, Positioning</t>
  </si>
  <si>
    <t xml:space="preserve">Head of Marketing com skills em Growth + Performance + CRM. São Paulo. 10k+ seguidores no LinkedIn (boa presença). Perfil mais branding que growth puro.</t>
  </si>
  <si>
    <t xml:space="preserve">Edson Ferrao</t>
  </si>
  <si>
    <t xml:space="preserve">Marketing Director | Growth, Performance, Branding and Product Marketing Executive | Startup Mentor</t>
  </si>
  <si>
    <t xml:space="preserve">Pupila Brand Studio (Head of Growth)</t>
  </si>
  <si>
    <t xml:space="preserve">Growth, Performance, Product Marketing, Startup Mentor, Branding</t>
  </si>
  <si>
    <t xml:space="preserve">Director com mix de Growth + Product Marketing. Startup Mentor indica experiência em ecossistema. São Paulo. Pode ser senior demais mas skills alinhadas com a vaga.</t>
  </si>
  <si>
    <t xml:space="preserve">Stella Leone</t>
  </si>
  <si>
    <t xml:space="preserve">New Ventures at Wellhub | Building in Wellness | Stanford | Growth and Product Innovation | VC</t>
  </si>
  <si>
    <t xml:space="preserve">Wellhub</t>
  </si>
  <si>
    <t xml:space="preserve">https://www.linkedin.com/in/stella-leone-853511156/</t>
  </si>
  <si>
    <t xml:space="preserve">Stanford University</t>
  </si>
  <si>
    <t xml:space="preserve">Revenue Strategy, Growth, Product Innovation, New Ventures, VC</t>
  </si>
  <si>
    <t xml:space="preserve">Credenciais impressionantes (Stanford, Wellhub, DOMO.VC). Porém background mais VC/investimento do que growth execution hands-on. Pode não querer sair do Wellhub para scale-up.</t>
  </si>
  <si>
    <t xml:space="preserve">GTM Engineer</t>
  </si>
  <si>
    <t xml:space="preserve">Anderson Hirota</t>
  </si>
  <si>
    <t xml:space="preserve">GTM Engineer | Revenue Operations | Sales Systems &amp; Automação Comercial</t>
  </si>
  <si>
    <t xml:space="preserve">GTM Systems Lab (Consultor)</t>
  </si>
  <si>
    <t xml:space="preserve">https://www.linkedin.com/in/andersonhirota/</t>
  </si>
  <si>
    <t xml:space="preserve">Revenue Operations, Go-to-Market Strategy, Sales Automation, Clay, Lead Generation</t>
  </si>
  <si>
    <t xml:space="preserve">Match perfeito: GTM Engineer, Clay, RevOps, Sales Automation. USP. São Paulo. Conectado à rede (Leonardo Ritschel, Tiago Antoniolli). Freelance atualmente — pode ter interesse. Publica sobre Clay e GTM.</t>
  </si>
  <si>
    <t xml:space="preserve">Alecsander Cucke</t>
  </si>
  <si>
    <t xml:space="preserve">Revenue Operations @nuvemshop | GTM Strategy &amp; Operations | GTM Engineer | SQL | N8N | Clay | Machine Learning</t>
  </si>
  <si>
    <t xml:space="preserve">Nuvemshop</t>
  </si>
  <si>
    <t xml:space="preserve">Santa Catarina, Brasil</t>
  </si>
  <si>
    <t xml:space="preserve">RevOps, GTM, SQL, N8N, Clay, Machine Learning, HubSpot</t>
  </si>
  <si>
    <t xml:space="preserve">Skills quase perfeitas: Clay, N8N, SQL, ML, RevOps. Nuvemshop é startup tech forte. Não está em SP (Santa Catarina) — verificar disponibilidade para híbrido. Global RevOps Coordinator é cargo relevante.</t>
  </si>
  <si>
    <t xml:space="preserve">Bruno Martin</t>
  </si>
  <si>
    <t xml:space="preserve">Sales &amp; GTM Strategy | AI-Powered Revenue Growth | Outbound &amp; Sales Ops Leader | Data &amp; Automation | B2B SaaS | Ex-Uber</t>
  </si>
  <si>
    <t xml:space="preserve">Pipefy (Head of Inside Sales)</t>
  </si>
  <si>
    <t xml:space="preserve">GTM Strategy, AI, Revenue Growth, Outbound, Data &amp; Automation, B2B SaaS</t>
  </si>
  <si>
    <t xml:space="preserve">GTM + AI + Automation em Pipefy (SaaS unicórnio). Ex-Uber. São Paulo. 5k seguidores. Head-level pode ser senior demais, mas skills muito alinhadas. Pode trazer playbook de empresa maior.</t>
  </si>
  <si>
    <t xml:space="preserve">Gabriel Peixoto</t>
  </si>
  <si>
    <t xml:space="preserve">Especialista em Sales Operations | RevOps | GTM Engineer | +7 anos de experiência</t>
  </si>
  <si>
    <t xml:space="preserve">Saipos</t>
  </si>
  <si>
    <t xml:space="preserve">Curitiba, Paraná, Brasil</t>
  </si>
  <si>
    <t xml:space="preserve">Sales Operations, RevOps, GTM Engineer</t>
  </si>
  <si>
    <t xml:space="preserve">7+ anos em Sales Ops/RevOps. Saipos é SaaS para restaurantes. Curitiba — não SP. Experiência sólida mas sem menção específica de Clay/N8N/Make. Perfil genérico de RevOps.</t>
  </si>
  <si>
    <t xml:space="preserve">Tipo Mensagem</t>
  </si>
  <si>
    <t xml:space="preserve">Template</t>
  </si>
  <si>
    <t xml:space="preserve">Variáveis</t>
  </si>
  <si>
    <t xml:space="preserve">Status Aprovação</t>
  </si>
  <si>
    <t xml:space="preserve">Conexão</t>
  </si>
  <si>
    <t xml:space="preserve">Oi {nome}, tudo bem? Sou da Comp, uma scale-up de Total Rewards backed by Kaszek. Vi seu perfil e achei que você pode ser um ótimo fit para uma oportunidade de Business Development. Posso te contar mais?</t>
  </si>
  <si>
    <t xml:space="preserve">{nome}</t>
  </si>
  <si>
    <t xml:space="preserve">Follow-up 1</t>
  </si>
  <si>
    <t xml:space="preserve">Oi {nome}! Passando aqui de novo — estamos crescendo rápido e buscando alguém com perfil como o seu para liderar nosso outbound. A vaga tem SOP e comp no P75. Bora trocar uma ideia?</t>
  </si>
  <si>
    <t xml:space="preserve">Follow-up 2</t>
  </si>
  <si>
    <t xml:space="preserve">Último toque, {nome}! Sei que a agenda é corrida. Se tiver interesse em saber mais sobre a Comp e a vaga de BD, me avisa que mando os detalhes. Valeu! 🙏</t>
  </si>
  <si>
    <t xml:space="preserve">Oi {nome}! Sou da Comp — estamos construindo o futuro de Total Rewards com AI. Seu perfil chamou atenção para nossa vaga de Growth Generalist. Posso te contar mais sobre o desafio?</t>
  </si>
  <si>
    <t xml:space="preserve">E aí {nome}, passando de novo! A vaga de Growth na Comp é para quem quer construir do zero — experimentação, product marketing, narrativa. SOP + P75 de comp. Interesse?</t>
  </si>
  <si>
    <t xml:space="preserve">Último toque {nome}! Se tiver curiosidade sobre a Comp e o que estamos construindo em Growth, fico à disposição. Sem compromisso! 🚀</t>
  </si>
  <si>
    <t xml:space="preserve">Oi {nome}! Vi seu perfil e achei super relevante para uma vaga de GTM Engineer na Comp. Trabalhamos com automação, dados e integrações no stack de GTM. Interesse em saber mais?</t>
  </si>
  <si>
    <t xml:space="preserve">E aí {nome}! A vaga de GTM Engineer na Comp envolve Clay, Make, n8n, HubSpot e LLMs para automatizar o funil de vendas. Comp P75 + equity. Bora conversar?</t>
  </si>
  <si>
    <t xml:space="preserve">Último follow-up, {nome}! Se tiver interesse em trabalhar com automação de GTM em uma scale-up backed by Kaszek, estou aqui. Valeu! 🙏</t>
  </si>
  <si>
    <t xml:space="preserve">Métrica</t>
  </si>
  <si>
    <t xml:space="preserve">Total</t>
  </si>
  <si>
    <t xml:space="preserve">Candidatos Encontrados</t>
  </si>
  <si>
    <t xml:space="preserve">Aprovados pelo Humano</t>
  </si>
  <si>
    <t xml:space="preserve">Conexão Enviada</t>
  </si>
  <si>
    <t xml:space="preserve">Conectados</t>
  </si>
  <si>
    <t xml:space="preserve">Follow-up 1 Enviado</t>
  </si>
  <si>
    <t xml:space="preserve">Follow-up 2 Enviado</t>
  </si>
  <si>
    <t xml:space="preserve">Responderam - Interesse</t>
  </si>
  <si>
    <t xml:space="preserve">Responderam - Sem Interesse</t>
  </si>
  <si>
    <t xml:space="preserve">Entrevista Agendada</t>
  </si>
  <si>
    <t xml:space="preserve">Taxa de Conexão (%)</t>
  </si>
  <si>
    <t xml:space="preserve">Taxa de Resposta (%)</t>
  </si>
  <si>
    <t xml:space="preserve">Taxa de Interesse (%)</t>
  </si>
  <si>
    <t xml:space="preserve">Data/Hora</t>
  </si>
  <si>
    <t xml:space="preserve">Ação</t>
  </si>
  <si>
    <t xml:space="preserve">Candidato</t>
  </si>
  <si>
    <t xml:space="preserve">Detalhes</t>
  </si>
  <si>
    <t xml:space="preserve">Resultado</t>
  </si>
  <si>
    <t xml:space="preserve">2026-03-03 16:21</t>
  </si>
  <si>
    <t xml:space="preserve">Busca LinkedIn</t>
  </si>
  <si>
    <t xml:space="preserve">N/A</t>
  </si>
  <si>
    <t xml:space="preserve">Query: Business Development SDR BDR startup São Paulo</t>
  </si>
  <si>
    <t xml:space="preserve">Encontrados 4 candidatos</t>
  </si>
  <si>
    <t xml:space="preserve">Query: Growth Marketing Product Marketing startup Brasil</t>
  </si>
  <si>
    <t xml:space="preserve">Query: Revenue Operations GTM Engineer Growth Engineer automação Clay Make HubSpot Brasil</t>
  </si>
  <si>
    <t xml:space="preserve">Análise de perfil</t>
  </si>
  <si>
    <t xml:space="preserve">Perfil completo analisado - BDR Google Cloud/Accenture</t>
  </si>
  <si>
    <t xml:space="preserve">Score 7/10</t>
  </si>
  <si>
    <t xml:space="preserve">Perfil completo analisado - BDR SYOS/múltiplas empresas</t>
  </si>
  <si>
    <t xml:space="preserve">Score 6/10</t>
  </si>
  <si>
    <t xml:space="preserve">Perfil completo analisado - Country Manager Doozy, USP</t>
  </si>
  <si>
    <t xml:space="preserve">Perfil completo analisado - New Ventures Wellhub, Stanford</t>
  </si>
  <si>
    <t xml:space="preserve">Score 5/10</t>
  </si>
  <si>
    <t xml:space="preserve">Perfil completo analisado - GTM Engineer consultant, Clay/RevOps, USP</t>
  </si>
  <si>
    <t xml:space="preserve">Score 9/10</t>
  </si>
  <si>
    <t xml:space="preserve">Atualização planilha</t>
  </si>
  <si>
    <t xml:space="preserve">Todas</t>
  </si>
  <si>
    <t xml:space="preserve">12 candidatos adicionados ao Pipeline</t>
  </si>
  <si>
    <t xml:space="preserve">Sucesso</t>
  </si>
  <si>
    <t xml:space="preserve">Parâmetro</t>
  </si>
  <si>
    <t xml:space="preserve">Valor</t>
  </si>
  <si>
    <t xml:space="preserve">Descrição</t>
  </si>
  <si>
    <t xml:space="preserve">Max Conexões/Dia</t>
  </si>
  <si>
    <t xml:space="preserve">Limite máximo de pedidos de conexão por dia</t>
  </si>
  <si>
    <t xml:space="preserve">Max Mensagens/Dia</t>
  </si>
  <si>
    <t xml:space="preserve">Limite máximo de mensagens por dia</t>
  </si>
  <si>
    <t xml:space="preserve">Cooldown entre ações (seg)</t>
  </si>
  <si>
    <t xml:space="preserve">Tempo mínimo entre ações no LinkedIn</t>
  </si>
  <si>
    <t xml:space="preserve">Cadência Follow-up 1 (dias)</t>
  </si>
  <si>
    <t xml:space="preserve">Dias após conexão aceita para enviar follow-up 1</t>
  </si>
  <si>
    <t xml:space="preserve">Cadência Follow-up 2 (dias)</t>
  </si>
  <si>
    <t xml:space="preserve">Dias após follow-up 1 para enviar follow-up 2</t>
  </si>
  <si>
    <t xml:space="preserve">Cadência Follow-up 3 (dias)</t>
  </si>
  <si>
    <t xml:space="preserve">Dias após follow-up 2 para enviar follow-up 3</t>
  </si>
  <si>
    <t xml:space="preserve">Horário Início</t>
  </si>
  <si>
    <t xml:space="preserve">09:00</t>
  </si>
  <si>
    <t xml:space="preserve">Horário de início das ações</t>
  </si>
  <si>
    <t xml:space="preserve">Horário Fim</t>
  </si>
  <si>
    <t xml:space="preserve">11:00</t>
  </si>
  <si>
    <t xml:space="preserve">Horário de término das ações</t>
  </si>
  <si>
    <t xml:space="preserve">Idioma Mensagens</t>
  </si>
  <si>
    <t xml:space="preserve">Português</t>
  </si>
  <si>
    <t xml:space="preserve">Idioma padrão das mensagens</t>
  </si>
  <si>
    <t xml:space="preserve">Conta LinkedIn</t>
  </si>
  <si>
    <t xml:space="preserve">Bot Exclusiva</t>
  </si>
  <si>
    <t xml:space="preserve">Conta usada para as ações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</si>
</sst>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2F5496"/>
      </patternFill>
    </fill>
    <fill>
      <patternFill patternType="solid">
        <fgColor rgb="FF2F5496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5496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25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35"/>
    <col collapsed="false" customWidth="true" hidden="false" outlineLevel="0" max="8" min="8" style="1" width="12"/>
    <col collapsed="false" customWidth="true" hidden="false" outlineLevel="0" max="9" min="9" style="1" width="25"/>
    <col collapsed="false" customWidth="true" hidden="false" outlineLevel="0" max="10" min="10" style="1" width="30"/>
    <col collapsed="false" customWidth="true" hidden="false" outlineLevel="0" max="11" min="11" style="1" width="12"/>
    <col collapsed="false" customWidth="true" hidden="false" outlineLevel="0" max="12" min="12" style="1" width="35"/>
    <col collapsed="false" customWidth="true" hidden="false" outlineLevel="0" max="13" min="13" style="1" width="15"/>
    <col collapsed="false" customWidth="true" hidden="false" outlineLevel="0" max="14" min="14" style="1" width="18"/>
    <col collapsed="false" customWidth="true" hidden="false" outlineLevel="0" max="16" min="15" style="1" width="30"/>
    <col collapsed="false" customWidth="true" hidden="false" outlineLevel="0" max="17" min="17" style="1" width="14"/>
    <col collapsed="false" customWidth="true" hidden="false" outlineLevel="0" max="19" min="18" style="1" width="18"/>
    <col collapsed="false" customWidth="true" hidden="false" outlineLevel="0" max="22" min="20" style="1" width="16"/>
    <col collapsed="false" customWidth="true" hidden="false" outlineLevel="0" max="23" min="23" style="1" width="30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15" hidden="false" customHeight="true" outlineLevel="0" collapsed="false">
      <c r="A2" s="1" t="n">
        <v>1</v>
      </c>
      <c r="B2" s="4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n">
        <v>4</v>
      </c>
      <c r="I2" s="1" t="s">
        <v>31</v>
      </c>
      <c r="J2" s="1" t="s">
        <v>32</v>
      </c>
      <c r="K2" s="1" t="n">
        <v>7</v>
      </c>
      <c r="L2" s="1" t="s">
        <v>33</v>
      </c>
      <c r="M2" s="4" t="s">
        <v>34</v>
      </c>
      <c r="N2" s="5" t="s">
        <v>35</v>
      </c>
      <c r="P2" s="1" t="s">
        <v>36</v>
      </c>
    </row>
    <row r="3" customFormat="false" ht="15" hidden="false" customHeight="true" outlineLevel="0" collapsed="false">
      <c r="A3" s="1" t="n">
        <v>2</v>
      </c>
      <c r="B3" s="4" t="s">
        <v>25</v>
      </c>
      <c r="C3" s="1" t="s">
        <v>37</v>
      </c>
      <c r="D3" s="1" t="s">
        <v>38</v>
      </c>
      <c r="E3" s="1" t="s">
        <v>39</v>
      </c>
      <c r="F3" s="1" t="s">
        <v>29</v>
      </c>
      <c r="G3" s="1" t="s">
        <v>40</v>
      </c>
      <c r="H3" s="1" t="n">
        <v>3</v>
      </c>
      <c r="I3" s="1" t="s">
        <v>41</v>
      </c>
      <c r="J3" s="1" t="s">
        <v>42</v>
      </c>
      <c r="K3" s="1" t="n">
        <v>6</v>
      </c>
      <c r="L3" s="1" t="s">
        <v>43</v>
      </c>
      <c r="M3" s="4" t="s">
        <v>34</v>
      </c>
      <c r="N3" s="5" t="s">
        <v>35</v>
      </c>
      <c r="P3" s="1" t="s">
        <v>36</v>
      </c>
    </row>
    <row r="4" customFormat="false" ht="15" hidden="false" customHeight="true" outlineLevel="0" collapsed="false">
      <c r="A4" s="1" t="n">
        <v>3</v>
      </c>
      <c r="B4" s="4" t="s">
        <v>25</v>
      </c>
      <c r="C4" s="1" t="s">
        <v>44</v>
      </c>
      <c r="D4" s="1" t="s">
        <v>45</v>
      </c>
      <c r="E4" s="1" t="s">
        <v>46</v>
      </c>
      <c r="F4" s="1" t="s">
        <v>29</v>
      </c>
      <c r="G4" s="1" t="s">
        <v>47</v>
      </c>
      <c r="H4" s="1" t="n">
        <v>2</v>
      </c>
      <c r="I4" s="1" t="s">
        <v>48</v>
      </c>
      <c r="J4" s="1" t="s">
        <v>49</v>
      </c>
      <c r="K4" s="1" t="n">
        <v>5</v>
      </c>
      <c r="L4" s="1" t="s">
        <v>50</v>
      </c>
      <c r="M4" s="4" t="s">
        <v>34</v>
      </c>
      <c r="N4" s="5" t="s">
        <v>35</v>
      </c>
      <c r="P4" s="1" t="s">
        <v>36</v>
      </c>
    </row>
    <row r="5" customFormat="false" ht="15" hidden="false" customHeight="true" outlineLevel="0" collapsed="false">
      <c r="A5" s="1" t="n">
        <v>4</v>
      </c>
      <c r="B5" s="4" t="s">
        <v>25</v>
      </c>
      <c r="C5" s="1" t="s">
        <v>51</v>
      </c>
      <c r="D5" s="1" t="s">
        <v>52</v>
      </c>
      <c r="E5" s="1" t="s">
        <v>53</v>
      </c>
      <c r="F5" s="1" t="s">
        <v>29</v>
      </c>
      <c r="G5" s="1" t="s">
        <v>54</v>
      </c>
      <c r="H5" s="1" t="n">
        <v>4</v>
      </c>
      <c r="I5" s="1" t="s">
        <v>48</v>
      </c>
      <c r="J5" s="1" t="s">
        <v>55</v>
      </c>
      <c r="K5" s="1" t="n">
        <v>5</v>
      </c>
      <c r="L5" s="1" t="s">
        <v>56</v>
      </c>
      <c r="M5" s="4" t="s">
        <v>34</v>
      </c>
      <c r="N5" s="5" t="s">
        <v>35</v>
      </c>
      <c r="P5" s="1" t="s">
        <v>36</v>
      </c>
    </row>
    <row r="6" customFormat="false" ht="15" hidden="false" customHeight="true" outlineLevel="0" collapsed="false">
      <c r="A6" s="1" t="n">
        <v>5</v>
      </c>
      <c r="B6" s="4" t="s">
        <v>57</v>
      </c>
      <c r="C6" s="1" t="s">
        <v>58</v>
      </c>
      <c r="D6" s="1" t="s">
        <v>59</v>
      </c>
      <c r="E6" s="1" t="s">
        <v>60</v>
      </c>
      <c r="F6" s="1" t="s">
        <v>29</v>
      </c>
      <c r="G6" s="1" t="s">
        <v>61</v>
      </c>
      <c r="H6" s="1" t="n">
        <v>7</v>
      </c>
      <c r="I6" s="1" t="s">
        <v>62</v>
      </c>
      <c r="J6" s="1" t="s">
        <v>63</v>
      </c>
      <c r="K6" s="1" t="n">
        <v>6</v>
      </c>
      <c r="L6" s="1" t="s">
        <v>64</v>
      </c>
      <c r="M6" s="4" t="s">
        <v>34</v>
      </c>
      <c r="N6" s="5" t="s">
        <v>35</v>
      </c>
      <c r="P6" s="1" t="s">
        <v>36</v>
      </c>
    </row>
    <row r="7" customFormat="false" ht="15" hidden="false" customHeight="true" outlineLevel="0" collapsed="false">
      <c r="A7" s="1" t="n">
        <v>6</v>
      </c>
      <c r="B7" s="4" t="s">
        <v>57</v>
      </c>
      <c r="C7" s="1" t="s">
        <v>65</v>
      </c>
      <c r="D7" s="1" t="s">
        <v>66</v>
      </c>
      <c r="E7" s="1" t="s">
        <v>67</v>
      </c>
      <c r="F7" s="1" t="s">
        <v>29</v>
      </c>
      <c r="G7" s="1" t="s">
        <v>54</v>
      </c>
      <c r="H7" s="1" t="n">
        <v>6</v>
      </c>
      <c r="I7" s="1" t="s">
        <v>48</v>
      </c>
      <c r="J7" s="1" t="s">
        <v>68</v>
      </c>
      <c r="K7" s="1" t="n">
        <v>6</v>
      </c>
      <c r="L7" s="1" t="s">
        <v>69</v>
      </c>
      <c r="M7" s="4" t="s">
        <v>34</v>
      </c>
      <c r="N7" s="5" t="s">
        <v>35</v>
      </c>
      <c r="P7" s="1" t="s">
        <v>36</v>
      </c>
    </row>
    <row r="8" customFormat="false" ht="15" hidden="false" customHeight="true" outlineLevel="0" collapsed="false">
      <c r="A8" s="1" t="n">
        <v>7</v>
      </c>
      <c r="B8" s="4" t="s">
        <v>57</v>
      </c>
      <c r="C8" s="1" t="s">
        <v>70</v>
      </c>
      <c r="D8" s="1" t="s">
        <v>71</v>
      </c>
      <c r="E8" s="1" t="s">
        <v>72</v>
      </c>
      <c r="F8" s="1" t="s">
        <v>29</v>
      </c>
      <c r="G8" s="1" t="s">
        <v>54</v>
      </c>
      <c r="H8" s="1" t="n">
        <v>8</v>
      </c>
      <c r="I8" s="1" t="s">
        <v>48</v>
      </c>
      <c r="J8" s="1" t="s">
        <v>73</v>
      </c>
      <c r="K8" s="1" t="n">
        <v>6</v>
      </c>
      <c r="L8" s="1" t="s">
        <v>74</v>
      </c>
      <c r="M8" s="4" t="s">
        <v>34</v>
      </c>
      <c r="N8" s="5" t="s">
        <v>35</v>
      </c>
      <c r="P8" s="1" t="s">
        <v>36</v>
      </c>
    </row>
    <row r="9" customFormat="false" ht="15" hidden="false" customHeight="true" outlineLevel="0" collapsed="false">
      <c r="A9" s="1" t="n">
        <v>8</v>
      </c>
      <c r="B9" s="4" t="s">
        <v>57</v>
      </c>
      <c r="C9" s="1" t="s">
        <v>75</v>
      </c>
      <c r="D9" s="1" t="s">
        <v>76</v>
      </c>
      <c r="E9" s="1" t="s">
        <v>77</v>
      </c>
      <c r="F9" s="1" t="s">
        <v>29</v>
      </c>
      <c r="G9" s="1" t="s">
        <v>78</v>
      </c>
      <c r="H9" s="1" t="n">
        <v>7</v>
      </c>
      <c r="I9" s="1" t="s">
        <v>79</v>
      </c>
      <c r="J9" s="1" t="s">
        <v>80</v>
      </c>
      <c r="K9" s="1" t="n">
        <v>5</v>
      </c>
      <c r="L9" s="1" t="s">
        <v>81</v>
      </c>
      <c r="M9" s="4" t="s">
        <v>34</v>
      </c>
      <c r="N9" s="5" t="s">
        <v>35</v>
      </c>
      <c r="P9" s="1" t="s">
        <v>36</v>
      </c>
    </row>
    <row r="10" customFormat="false" ht="15" hidden="false" customHeight="true" outlineLevel="0" collapsed="false">
      <c r="A10" s="1" t="n">
        <v>9</v>
      </c>
      <c r="B10" s="4" t="s">
        <v>82</v>
      </c>
      <c r="C10" s="1" t="s">
        <v>83</v>
      </c>
      <c r="D10" s="1" t="s">
        <v>84</v>
      </c>
      <c r="E10" s="1" t="s">
        <v>85</v>
      </c>
      <c r="F10" s="1" t="s">
        <v>29</v>
      </c>
      <c r="G10" s="1" t="s">
        <v>86</v>
      </c>
      <c r="H10" s="1" t="n">
        <v>5</v>
      </c>
      <c r="I10" s="1" t="s">
        <v>62</v>
      </c>
      <c r="J10" s="1" t="s">
        <v>87</v>
      </c>
      <c r="K10" s="1" t="n">
        <v>9</v>
      </c>
      <c r="L10" s="1" t="s">
        <v>88</v>
      </c>
      <c r="M10" s="4" t="s">
        <v>34</v>
      </c>
      <c r="N10" s="5" t="s">
        <v>35</v>
      </c>
      <c r="P10" s="1" t="s">
        <v>36</v>
      </c>
    </row>
    <row r="11" customFormat="false" ht="15" hidden="false" customHeight="true" outlineLevel="0" collapsed="false">
      <c r="A11" s="1" t="n">
        <v>10</v>
      </c>
      <c r="B11" s="4" t="s">
        <v>82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54</v>
      </c>
      <c r="H11" s="1" t="n">
        <v>4</v>
      </c>
      <c r="I11" s="1" t="s">
        <v>48</v>
      </c>
      <c r="J11" s="1" t="s">
        <v>93</v>
      </c>
      <c r="K11" s="1" t="n">
        <v>8</v>
      </c>
      <c r="L11" s="1" t="s">
        <v>94</v>
      </c>
      <c r="M11" s="4" t="s">
        <v>34</v>
      </c>
      <c r="N11" s="5" t="s">
        <v>35</v>
      </c>
      <c r="P11" s="1" t="s">
        <v>36</v>
      </c>
    </row>
    <row r="12" customFormat="false" ht="15" hidden="false" customHeight="true" outlineLevel="0" collapsed="false">
      <c r="A12" s="1" t="n">
        <v>11</v>
      </c>
      <c r="B12" s="4" t="s">
        <v>82</v>
      </c>
      <c r="C12" s="1" t="s">
        <v>95</v>
      </c>
      <c r="D12" s="1" t="s">
        <v>96</v>
      </c>
      <c r="E12" s="1" t="s">
        <v>97</v>
      </c>
      <c r="F12" s="1" t="s">
        <v>29</v>
      </c>
      <c r="G12" s="1" t="s">
        <v>54</v>
      </c>
      <c r="H12" s="1" t="n">
        <v>8</v>
      </c>
      <c r="I12" s="1" t="s">
        <v>48</v>
      </c>
      <c r="J12" s="1" t="s">
        <v>98</v>
      </c>
      <c r="K12" s="1" t="n">
        <v>7</v>
      </c>
      <c r="L12" s="1" t="s">
        <v>99</v>
      </c>
      <c r="M12" s="4" t="s">
        <v>34</v>
      </c>
      <c r="N12" s="5" t="s">
        <v>35</v>
      </c>
      <c r="P12" s="1" t="s">
        <v>36</v>
      </c>
    </row>
    <row r="13" customFormat="false" ht="15" hidden="false" customHeight="true" outlineLevel="0" collapsed="false">
      <c r="A13" s="1" t="n">
        <v>12</v>
      </c>
      <c r="B13" s="4" t="s">
        <v>82</v>
      </c>
      <c r="C13" s="1" t="s">
        <v>100</v>
      </c>
      <c r="D13" s="1" t="s">
        <v>101</v>
      </c>
      <c r="E13" s="1" t="s">
        <v>102</v>
      </c>
      <c r="F13" s="1" t="s">
        <v>103</v>
      </c>
      <c r="G13" s="1" t="s">
        <v>54</v>
      </c>
      <c r="H13" s="1" t="n">
        <v>7</v>
      </c>
      <c r="I13" s="1" t="s">
        <v>48</v>
      </c>
      <c r="J13" s="1" t="s">
        <v>104</v>
      </c>
      <c r="K13" s="1" t="n">
        <v>6</v>
      </c>
      <c r="L13" s="1" t="s">
        <v>105</v>
      </c>
      <c r="M13" s="4" t="s">
        <v>34</v>
      </c>
      <c r="N13" s="5" t="s">
        <v>35</v>
      </c>
      <c r="P13" s="1" t="s">
        <v>36</v>
      </c>
    </row>
    <row r="14" customFormat="false" ht="15" hidden="false" customHeight="true" outlineLevel="0" collapsed="false">
      <c r="B14" s="4"/>
      <c r="M14" s="4"/>
    </row>
    <row r="15" customFormat="false" ht="15" hidden="false" customHeight="true" outlineLevel="0" collapsed="false">
      <c r="B15" s="4"/>
      <c r="M15" s="4"/>
    </row>
    <row r="16" customFormat="false" ht="15" hidden="false" customHeight="true" outlineLevel="0" collapsed="false">
      <c r="B16" s="4"/>
      <c r="M16" s="4"/>
    </row>
    <row r="17" customFormat="false" ht="15" hidden="false" customHeight="true" outlineLevel="0" collapsed="false">
      <c r="B17" s="4"/>
      <c r="M17" s="4"/>
    </row>
    <row r="18" customFormat="false" ht="15" hidden="false" customHeight="true" outlineLevel="0" collapsed="false">
      <c r="B18" s="4"/>
      <c r="M18" s="4"/>
    </row>
    <row r="19" customFormat="false" ht="15" hidden="false" customHeight="true" outlineLevel="0" collapsed="false">
      <c r="B19" s="4"/>
      <c r="M19" s="4"/>
    </row>
    <row r="20" customFormat="false" ht="15" hidden="false" customHeight="true" outlineLevel="0" collapsed="false">
      <c r="B20" s="4"/>
      <c r="M20" s="4"/>
    </row>
    <row r="21" customFormat="false" ht="15" hidden="false" customHeight="true" outlineLevel="0" collapsed="false">
      <c r="B21" s="4"/>
      <c r="M21" s="4"/>
    </row>
    <row r="22" customFormat="false" ht="15" hidden="false" customHeight="true" outlineLevel="0" collapsed="false">
      <c r="B22" s="4"/>
      <c r="M22" s="4"/>
    </row>
    <row r="23" customFormat="false" ht="15" hidden="false" customHeight="true" outlineLevel="0" collapsed="false">
      <c r="B23" s="4"/>
      <c r="M23" s="4"/>
    </row>
    <row r="24" customFormat="false" ht="15" hidden="false" customHeight="true" outlineLevel="0" collapsed="false">
      <c r="B24" s="4"/>
      <c r="M24" s="4"/>
    </row>
    <row r="25" customFormat="false" ht="15" hidden="false" customHeight="true" outlineLevel="0" collapsed="false">
      <c r="B25" s="4"/>
      <c r="M25" s="4"/>
    </row>
    <row r="26" customFormat="false" ht="15" hidden="false" customHeight="true" outlineLevel="0" collapsed="false">
      <c r="B26" s="4"/>
      <c r="M26" s="4"/>
    </row>
    <row r="27" customFormat="false" ht="15" hidden="false" customHeight="true" outlineLevel="0" collapsed="false">
      <c r="B27" s="4"/>
      <c r="M27" s="4"/>
    </row>
    <row r="28" customFormat="false" ht="15" hidden="false" customHeight="true" outlineLevel="0" collapsed="false">
      <c r="B28" s="4"/>
      <c r="M28" s="4"/>
    </row>
    <row r="29" customFormat="false" ht="15" hidden="false" customHeight="true" outlineLevel="0" collapsed="false">
      <c r="B29" s="4"/>
      <c r="M29" s="4"/>
    </row>
    <row r="30" customFormat="false" ht="15" hidden="false" customHeight="true" outlineLevel="0" collapsed="false">
      <c r="B30" s="4"/>
      <c r="M30" s="4"/>
    </row>
    <row r="31" customFormat="false" ht="15" hidden="false" customHeight="true" outlineLevel="0" collapsed="false">
      <c r="B31" s="4"/>
      <c r="M31" s="4"/>
    </row>
    <row r="32" customFormat="false" ht="15" hidden="false" customHeight="true" outlineLevel="0" collapsed="false">
      <c r="B32" s="4"/>
      <c r="M32" s="4"/>
    </row>
    <row r="33" customFormat="false" ht="15" hidden="false" customHeight="true" outlineLevel="0" collapsed="false">
      <c r="B33" s="4"/>
      <c r="M33" s="4"/>
    </row>
    <row r="34" customFormat="false" ht="15" hidden="false" customHeight="true" outlineLevel="0" collapsed="false">
      <c r="B34" s="4"/>
      <c r="M34" s="4"/>
    </row>
    <row r="35" customFormat="false" ht="15" hidden="false" customHeight="true" outlineLevel="0" collapsed="false">
      <c r="B35" s="4"/>
      <c r="M35" s="4"/>
    </row>
    <row r="36" customFormat="false" ht="15" hidden="false" customHeight="true" outlineLevel="0" collapsed="false">
      <c r="B36" s="4"/>
      <c r="M36" s="4"/>
    </row>
    <row r="37" customFormat="false" ht="15" hidden="false" customHeight="true" outlineLevel="0" collapsed="false">
      <c r="B37" s="4"/>
      <c r="M37" s="4"/>
    </row>
    <row r="38" customFormat="false" ht="15" hidden="false" customHeight="true" outlineLevel="0" collapsed="false">
      <c r="B38" s="4"/>
      <c r="M38" s="4"/>
    </row>
    <row r="39" customFormat="false" ht="15" hidden="false" customHeight="true" outlineLevel="0" collapsed="false">
      <c r="B39" s="4"/>
      <c r="M39" s="4"/>
    </row>
    <row r="40" customFormat="false" ht="15" hidden="false" customHeight="true" outlineLevel="0" collapsed="false">
      <c r="B40" s="4"/>
      <c r="M40" s="4"/>
    </row>
    <row r="41" customFormat="false" ht="15" hidden="false" customHeight="true" outlineLevel="0" collapsed="false">
      <c r="B41" s="4"/>
      <c r="M41" s="4"/>
    </row>
    <row r="42" customFormat="false" ht="15" hidden="false" customHeight="true" outlineLevel="0" collapsed="false">
      <c r="B42" s="4"/>
      <c r="M42" s="4"/>
    </row>
    <row r="43" customFormat="false" ht="15" hidden="false" customHeight="true" outlineLevel="0" collapsed="false">
      <c r="B43" s="4"/>
      <c r="M43" s="4"/>
    </row>
    <row r="44" customFormat="false" ht="15" hidden="false" customHeight="true" outlineLevel="0" collapsed="false">
      <c r="B44" s="4"/>
      <c r="M44" s="4"/>
    </row>
    <row r="45" customFormat="false" ht="15" hidden="false" customHeight="true" outlineLevel="0" collapsed="false">
      <c r="B45" s="4"/>
      <c r="M45" s="4"/>
    </row>
    <row r="46" customFormat="false" ht="15" hidden="false" customHeight="true" outlineLevel="0" collapsed="false">
      <c r="B46" s="4"/>
      <c r="M46" s="4"/>
    </row>
    <row r="47" customFormat="false" ht="15" hidden="false" customHeight="true" outlineLevel="0" collapsed="false">
      <c r="B47" s="4"/>
      <c r="M47" s="4"/>
    </row>
    <row r="48" customFormat="false" ht="15" hidden="false" customHeight="true" outlineLevel="0" collapsed="false">
      <c r="B48" s="4"/>
      <c r="M48" s="4"/>
    </row>
    <row r="49" customFormat="false" ht="15" hidden="false" customHeight="true" outlineLevel="0" collapsed="false">
      <c r="B49" s="4"/>
      <c r="M49" s="4"/>
    </row>
    <row r="50" customFormat="false" ht="15" hidden="false" customHeight="true" outlineLevel="0" collapsed="false">
      <c r="B50" s="4"/>
      <c r="M50" s="4"/>
    </row>
    <row r="51" customFormat="false" ht="15" hidden="false" customHeight="true" outlineLevel="0" collapsed="false">
      <c r="B51" s="4"/>
      <c r="M51" s="4"/>
    </row>
    <row r="52" customFormat="false" ht="15" hidden="false" customHeight="true" outlineLevel="0" collapsed="false">
      <c r="B52" s="4"/>
      <c r="M52" s="4"/>
    </row>
    <row r="53" customFormat="false" ht="15" hidden="false" customHeight="true" outlineLevel="0" collapsed="false">
      <c r="B53" s="4"/>
      <c r="M53" s="4"/>
    </row>
    <row r="54" customFormat="false" ht="15" hidden="false" customHeight="true" outlineLevel="0" collapsed="false">
      <c r="B54" s="4"/>
      <c r="M54" s="4"/>
    </row>
    <row r="55" customFormat="false" ht="15" hidden="false" customHeight="true" outlineLevel="0" collapsed="false">
      <c r="B55" s="4"/>
      <c r="M55" s="4"/>
    </row>
    <row r="56" customFormat="false" ht="15" hidden="false" customHeight="true" outlineLevel="0" collapsed="false">
      <c r="B56" s="4"/>
      <c r="M56" s="4"/>
    </row>
    <row r="57" customFormat="false" ht="15" hidden="false" customHeight="true" outlineLevel="0" collapsed="false">
      <c r="B57" s="4"/>
      <c r="M57" s="4"/>
    </row>
    <row r="58" customFormat="false" ht="15" hidden="false" customHeight="true" outlineLevel="0" collapsed="false">
      <c r="B58" s="4"/>
      <c r="M58" s="4"/>
    </row>
    <row r="59" customFormat="false" ht="15" hidden="false" customHeight="true" outlineLevel="0" collapsed="false">
      <c r="B59" s="4"/>
      <c r="M59" s="4"/>
    </row>
    <row r="60" customFormat="false" ht="15" hidden="false" customHeight="true" outlineLevel="0" collapsed="false">
      <c r="B60" s="4"/>
      <c r="M60" s="4"/>
    </row>
    <row r="61" customFormat="false" ht="15" hidden="false" customHeight="true" outlineLevel="0" collapsed="false">
      <c r="B61" s="4"/>
      <c r="M61" s="4"/>
    </row>
    <row r="62" customFormat="false" ht="15" hidden="false" customHeight="true" outlineLevel="0" collapsed="false">
      <c r="B62" s="4"/>
      <c r="M62" s="4"/>
    </row>
    <row r="63" customFormat="false" ht="15" hidden="false" customHeight="true" outlineLevel="0" collapsed="false">
      <c r="B63" s="4"/>
      <c r="M63" s="4"/>
    </row>
    <row r="64" customFormat="false" ht="15" hidden="false" customHeight="true" outlineLevel="0" collapsed="false">
      <c r="B64" s="4"/>
      <c r="M64" s="4"/>
    </row>
    <row r="65" customFormat="false" ht="15" hidden="false" customHeight="true" outlineLevel="0" collapsed="false">
      <c r="B65" s="4"/>
      <c r="M65" s="4"/>
    </row>
    <row r="66" customFormat="false" ht="15" hidden="false" customHeight="true" outlineLevel="0" collapsed="false">
      <c r="B66" s="4"/>
      <c r="M66" s="4"/>
    </row>
    <row r="67" customFormat="false" ht="15" hidden="false" customHeight="true" outlineLevel="0" collapsed="false">
      <c r="B67" s="4"/>
      <c r="M67" s="4"/>
    </row>
    <row r="68" customFormat="false" ht="15" hidden="false" customHeight="true" outlineLevel="0" collapsed="false">
      <c r="B68" s="4"/>
      <c r="M68" s="4"/>
    </row>
    <row r="69" customFormat="false" ht="15" hidden="false" customHeight="true" outlineLevel="0" collapsed="false">
      <c r="B69" s="4"/>
      <c r="M69" s="4"/>
    </row>
    <row r="70" customFormat="false" ht="15" hidden="false" customHeight="true" outlineLevel="0" collapsed="false">
      <c r="B70" s="4"/>
      <c r="M70" s="4"/>
    </row>
    <row r="71" customFormat="false" ht="15" hidden="false" customHeight="true" outlineLevel="0" collapsed="false">
      <c r="B71" s="4"/>
      <c r="M71" s="4"/>
    </row>
    <row r="72" customFormat="false" ht="15" hidden="false" customHeight="true" outlineLevel="0" collapsed="false">
      <c r="B72" s="4"/>
      <c r="M72" s="4"/>
    </row>
    <row r="73" customFormat="false" ht="15" hidden="false" customHeight="true" outlineLevel="0" collapsed="false">
      <c r="B73" s="4"/>
      <c r="M73" s="4"/>
    </row>
    <row r="74" customFormat="false" ht="15" hidden="false" customHeight="true" outlineLevel="0" collapsed="false">
      <c r="B74" s="4"/>
      <c r="M74" s="4"/>
    </row>
    <row r="75" customFormat="false" ht="15" hidden="false" customHeight="true" outlineLevel="0" collapsed="false">
      <c r="B75" s="4"/>
      <c r="M75" s="4"/>
    </row>
    <row r="76" customFormat="false" ht="15" hidden="false" customHeight="true" outlineLevel="0" collapsed="false">
      <c r="B76" s="4"/>
      <c r="M76" s="4"/>
    </row>
    <row r="77" customFormat="false" ht="15" hidden="false" customHeight="true" outlineLevel="0" collapsed="false">
      <c r="B77" s="4"/>
      <c r="M77" s="4"/>
    </row>
    <row r="78" customFormat="false" ht="15" hidden="false" customHeight="true" outlineLevel="0" collapsed="false">
      <c r="B78" s="4"/>
      <c r="M78" s="4"/>
    </row>
    <row r="79" customFormat="false" ht="15" hidden="false" customHeight="true" outlineLevel="0" collapsed="false">
      <c r="B79" s="4"/>
      <c r="M79" s="4"/>
    </row>
    <row r="80" customFormat="false" ht="15" hidden="false" customHeight="true" outlineLevel="0" collapsed="false">
      <c r="B80" s="4"/>
      <c r="M80" s="4"/>
    </row>
    <row r="81" customFormat="false" ht="15" hidden="false" customHeight="true" outlineLevel="0" collapsed="false">
      <c r="B81" s="4"/>
      <c r="M81" s="4"/>
    </row>
    <row r="82" customFormat="false" ht="15" hidden="false" customHeight="true" outlineLevel="0" collapsed="false">
      <c r="B82" s="4"/>
      <c r="M82" s="4"/>
    </row>
    <row r="83" customFormat="false" ht="15" hidden="false" customHeight="true" outlineLevel="0" collapsed="false">
      <c r="B83" s="4"/>
      <c r="M83" s="4"/>
    </row>
    <row r="84" customFormat="false" ht="15" hidden="false" customHeight="true" outlineLevel="0" collapsed="false">
      <c r="B84" s="4"/>
      <c r="M84" s="4"/>
    </row>
    <row r="85" customFormat="false" ht="15" hidden="false" customHeight="true" outlineLevel="0" collapsed="false">
      <c r="B85" s="4"/>
      <c r="M85" s="4"/>
    </row>
    <row r="86" customFormat="false" ht="15" hidden="false" customHeight="true" outlineLevel="0" collapsed="false">
      <c r="B86" s="4"/>
      <c r="M86" s="4"/>
    </row>
    <row r="87" customFormat="false" ht="15" hidden="false" customHeight="true" outlineLevel="0" collapsed="false">
      <c r="B87" s="4"/>
      <c r="M87" s="4"/>
    </row>
    <row r="88" customFormat="false" ht="15" hidden="false" customHeight="true" outlineLevel="0" collapsed="false">
      <c r="B88" s="4"/>
      <c r="M88" s="4"/>
    </row>
    <row r="89" customFormat="false" ht="15" hidden="false" customHeight="true" outlineLevel="0" collapsed="false">
      <c r="B89" s="4"/>
      <c r="M89" s="4"/>
    </row>
    <row r="90" customFormat="false" ht="15" hidden="false" customHeight="true" outlineLevel="0" collapsed="false">
      <c r="B90" s="4"/>
      <c r="M90" s="4"/>
    </row>
    <row r="91" customFormat="false" ht="15" hidden="false" customHeight="true" outlineLevel="0" collapsed="false">
      <c r="B91" s="4"/>
      <c r="M91" s="4"/>
    </row>
    <row r="92" customFormat="false" ht="15" hidden="false" customHeight="true" outlineLevel="0" collapsed="false">
      <c r="B92" s="4"/>
      <c r="M92" s="4"/>
    </row>
    <row r="93" customFormat="false" ht="15" hidden="false" customHeight="true" outlineLevel="0" collapsed="false">
      <c r="B93" s="4"/>
      <c r="M93" s="4"/>
    </row>
    <row r="94" customFormat="false" ht="15" hidden="false" customHeight="true" outlineLevel="0" collapsed="false">
      <c r="B94" s="4"/>
      <c r="M94" s="4"/>
    </row>
    <row r="95" customFormat="false" ht="15" hidden="false" customHeight="true" outlineLevel="0" collapsed="false">
      <c r="B95" s="4"/>
      <c r="M95" s="4"/>
    </row>
    <row r="96" customFormat="false" ht="15" hidden="false" customHeight="true" outlineLevel="0" collapsed="false">
      <c r="B96" s="4"/>
      <c r="M96" s="4"/>
    </row>
    <row r="97" customFormat="false" ht="15" hidden="false" customHeight="true" outlineLevel="0" collapsed="false">
      <c r="B97" s="4"/>
      <c r="M97" s="4"/>
    </row>
    <row r="98" customFormat="false" ht="15" hidden="false" customHeight="true" outlineLevel="0" collapsed="false">
      <c r="B98" s="4"/>
      <c r="M98" s="4"/>
    </row>
    <row r="99" customFormat="false" ht="15" hidden="false" customHeight="true" outlineLevel="0" collapsed="false">
      <c r="B99" s="4"/>
      <c r="M99" s="4"/>
    </row>
    <row r="100" customFormat="false" ht="15" hidden="false" customHeight="true" outlineLevel="0" collapsed="false">
      <c r="B100" s="4"/>
      <c r="M100" s="4"/>
    </row>
    <row r="101" customFormat="false" ht="15" hidden="false" customHeight="true" outlineLevel="0" collapsed="false">
      <c r="B101" s="4"/>
      <c r="M101" s="4"/>
    </row>
    <row r="102" customFormat="false" ht="15" hidden="false" customHeight="true" outlineLevel="0" collapsed="false">
      <c r="B102" s="4"/>
      <c r="M102" s="4"/>
    </row>
    <row r="103" customFormat="false" ht="15" hidden="false" customHeight="true" outlineLevel="0" collapsed="false">
      <c r="B103" s="4"/>
      <c r="M103" s="4"/>
    </row>
    <row r="104" customFormat="false" ht="15" hidden="false" customHeight="true" outlineLevel="0" collapsed="false">
      <c r="B104" s="4"/>
      <c r="M104" s="4"/>
    </row>
    <row r="105" customFormat="false" ht="15" hidden="false" customHeight="true" outlineLevel="0" collapsed="false">
      <c r="B105" s="4"/>
      <c r="M105" s="4"/>
    </row>
    <row r="106" customFormat="false" ht="15" hidden="false" customHeight="true" outlineLevel="0" collapsed="false">
      <c r="B106" s="4"/>
      <c r="M106" s="4"/>
    </row>
    <row r="107" customFormat="false" ht="15" hidden="false" customHeight="true" outlineLevel="0" collapsed="false">
      <c r="B107" s="4"/>
      <c r="M107" s="4"/>
    </row>
    <row r="108" customFormat="false" ht="15" hidden="false" customHeight="true" outlineLevel="0" collapsed="false">
      <c r="B108" s="4"/>
      <c r="M108" s="4"/>
    </row>
    <row r="109" customFormat="false" ht="15" hidden="false" customHeight="true" outlineLevel="0" collapsed="false">
      <c r="B109" s="4"/>
      <c r="M109" s="4"/>
    </row>
    <row r="110" customFormat="false" ht="15" hidden="false" customHeight="true" outlineLevel="0" collapsed="false">
      <c r="B110" s="4"/>
      <c r="M110" s="4"/>
    </row>
    <row r="111" customFormat="false" ht="15" hidden="false" customHeight="true" outlineLevel="0" collapsed="false">
      <c r="B111" s="4"/>
      <c r="M111" s="4"/>
    </row>
    <row r="112" customFormat="false" ht="15" hidden="false" customHeight="true" outlineLevel="0" collapsed="false">
      <c r="B112" s="4"/>
      <c r="M112" s="4"/>
    </row>
    <row r="113" customFormat="false" ht="15" hidden="false" customHeight="true" outlineLevel="0" collapsed="false">
      <c r="B113" s="4"/>
      <c r="M113" s="4"/>
    </row>
    <row r="114" customFormat="false" ht="15" hidden="false" customHeight="true" outlineLevel="0" collapsed="false">
      <c r="B114" s="4"/>
      <c r="M114" s="4"/>
    </row>
    <row r="115" customFormat="false" ht="15" hidden="false" customHeight="true" outlineLevel="0" collapsed="false">
      <c r="B115" s="4"/>
      <c r="M115" s="4"/>
    </row>
    <row r="116" customFormat="false" ht="15" hidden="false" customHeight="true" outlineLevel="0" collapsed="false">
      <c r="B116" s="4"/>
      <c r="M116" s="4"/>
    </row>
    <row r="117" customFormat="false" ht="15" hidden="false" customHeight="true" outlineLevel="0" collapsed="false">
      <c r="B117" s="4"/>
      <c r="M117" s="4"/>
    </row>
    <row r="118" customFormat="false" ht="15" hidden="false" customHeight="true" outlineLevel="0" collapsed="false">
      <c r="B118" s="4"/>
      <c r="M118" s="4"/>
    </row>
    <row r="119" customFormat="false" ht="15" hidden="false" customHeight="true" outlineLevel="0" collapsed="false">
      <c r="B119" s="4"/>
      <c r="M119" s="4"/>
    </row>
    <row r="120" customFormat="false" ht="15" hidden="false" customHeight="true" outlineLevel="0" collapsed="false">
      <c r="B120" s="4"/>
      <c r="M120" s="4"/>
    </row>
    <row r="121" customFormat="false" ht="15" hidden="false" customHeight="true" outlineLevel="0" collapsed="false">
      <c r="B121" s="4"/>
      <c r="M121" s="4"/>
    </row>
    <row r="122" customFormat="false" ht="15" hidden="false" customHeight="true" outlineLevel="0" collapsed="false">
      <c r="B122" s="4"/>
      <c r="M122" s="4"/>
    </row>
    <row r="123" customFormat="false" ht="15" hidden="false" customHeight="true" outlineLevel="0" collapsed="false">
      <c r="B123" s="4"/>
      <c r="M123" s="4"/>
    </row>
    <row r="124" customFormat="false" ht="15" hidden="false" customHeight="true" outlineLevel="0" collapsed="false">
      <c r="B124" s="4"/>
      <c r="M124" s="4"/>
    </row>
    <row r="125" customFormat="false" ht="15" hidden="false" customHeight="true" outlineLevel="0" collapsed="false">
      <c r="B125" s="4"/>
      <c r="M125" s="4"/>
    </row>
    <row r="126" customFormat="false" ht="15" hidden="false" customHeight="true" outlineLevel="0" collapsed="false">
      <c r="B126" s="4"/>
      <c r="M126" s="4"/>
    </row>
    <row r="127" customFormat="false" ht="15" hidden="false" customHeight="true" outlineLevel="0" collapsed="false">
      <c r="B127" s="4"/>
      <c r="M127" s="4"/>
    </row>
    <row r="128" customFormat="false" ht="15" hidden="false" customHeight="true" outlineLevel="0" collapsed="false">
      <c r="B128" s="4"/>
      <c r="M128" s="4"/>
    </row>
    <row r="129" customFormat="false" ht="15" hidden="false" customHeight="true" outlineLevel="0" collapsed="false">
      <c r="B129" s="4"/>
      <c r="M129" s="4"/>
    </row>
    <row r="130" customFormat="false" ht="15" hidden="false" customHeight="true" outlineLevel="0" collapsed="false">
      <c r="B130" s="4"/>
      <c r="M130" s="4"/>
    </row>
    <row r="131" customFormat="false" ht="15" hidden="false" customHeight="true" outlineLevel="0" collapsed="false">
      <c r="B131" s="4"/>
      <c r="M131" s="4"/>
    </row>
    <row r="132" customFormat="false" ht="15" hidden="false" customHeight="true" outlineLevel="0" collapsed="false">
      <c r="B132" s="4"/>
      <c r="M132" s="4"/>
    </row>
    <row r="133" customFormat="false" ht="15" hidden="false" customHeight="true" outlineLevel="0" collapsed="false">
      <c r="B133" s="4"/>
      <c r="M133" s="4"/>
    </row>
    <row r="134" customFormat="false" ht="15" hidden="false" customHeight="true" outlineLevel="0" collapsed="false">
      <c r="B134" s="4"/>
      <c r="M134" s="4"/>
    </row>
    <row r="135" customFormat="false" ht="15" hidden="false" customHeight="true" outlineLevel="0" collapsed="false">
      <c r="B135" s="4"/>
      <c r="M135" s="4"/>
    </row>
    <row r="136" customFormat="false" ht="15" hidden="false" customHeight="true" outlineLevel="0" collapsed="false">
      <c r="B136" s="4"/>
      <c r="M136" s="4"/>
    </row>
    <row r="137" customFormat="false" ht="15" hidden="false" customHeight="true" outlineLevel="0" collapsed="false">
      <c r="B137" s="4"/>
      <c r="M137" s="4"/>
    </row>
    <row r="138" customFormat="false" ht="15" hidden="false" customHeight="true" outlineLevel="0" collapsed="false">
      <c r="B138" s="4"/>
      <c r="M138" s="4"/>
    </row>
    <row r="139" customFormat="false" ht="15" hidden="false" customHeight="true" outlineLevel="0" collapsed="false">
      <c r="B139" s="4"/>
      <c r="M139" s="4"/>
    </row>
    <row r="140" customFormat="false" ht="15" hidden="false" customHeight="true" outlineLevel="0" collapsed="false">
      <c r="B140" s="4"/>
      <c r="M140" s="4"/>
    </row>
    <row r="141" customFormat="false" ht="15" hidden="false" customHeight="true" outlineLevel="0" collapsed="false">
      <c r="B141" s="4"/>
      <c r="M141" s="4"/>
    </row>
    <row r="142" customFormat="false" ht="15" hidden="false" customHeight="true" outlineLevel="0" collapsed="false">
      <c r="B142" s="4"/>
      <c r="M142" s="4"/>
    </row>
    <row r="143" customFormat="false" ht="15" hidden="false" customHeight="true" outlineLevel="0" collapsed="false">
      <c r="B143" s="4"/>
      <c r="M143" s="4"/>
    </row>
    <row r="144" customFormat="false" ht="15" hidden="false" customHeight="true" outlineLevel="0" collapsed="false">
      <c r="B144" s="4"/>
      <c r="M144" s="4"/>
    </row>
    <row r="145" customFormat="false" ht="15" hidden="false" customHeight="true" outlineLevel="0" collapsed="false">
      <c r="B145" s="4"/>
      <c r="M145" s="4"/>
    </row>
    <row r="146" customFormat="false" ht="15" hidden="false" customHeight="true" outlineLevel="0" collapsed="false">
      <c r="B146" s="4"/>
      <c r="M146" s="4"/>
    </row>
    <row r="147" customFormat="false" ht="15" hidden="false" customHeight="true" outlineLevel="0" collapsed="false">
      <c r="B147" s="4"/>
      <c r="M147" s="4"/>
    </row>
    <row r="148" customFormat="false" ht="15" hidden="false" customHeight="true" outlineLevel="0" collapsed="false">
      <c r="B148" s="4"/>
      <c r="M148" s="4"/>
    </row>
    <row r="149" customFormat="false" ht="15" hidden="false" customHeight="true" outlineLevel="0" collapsed="false">
      <c r="B149" s="4"/>
      <c r="M149" s="4"/>
    </row>
    <row r="150" customFormat="false" ht="15" hidden="false" customHeight="true" outlineLevel="0" collapsed="false">
      <c r="B150" s="4"/>
      <c r="M150" s="4"/>
    </row>
    <row r="151" customFormat="false" ht="15" hidden="false" customHeight="true" outlineLevel="0" collapsed="false">
      <c r="B151" s="4"/>
      <c r="M151" s="4"/>
    </row>
    <row r="152" customFormat="false" ht="15" hidden="false" customHeight="true" outlineLevel="0" collapsed="false">
      <c r="B152" s="4"/>
      <c r="M152" s="4"/>
    </row>
    <row r="153" customFormat="false" ht="15" hidden="false" customHeight="true" outlineLevel="0" collapsed="false">
      <c r="B153" s="4"/>
      <c r="M153" s="4"/>
    </row>
    <row r="154" customFormat="false" ht="15" hidden="false" customHeight="true" outlineLevel="0" collapsed="false">
      <c r="B154" s="4"/>
      <c r="M154" s="4"/>
    </row>
    <row r="155" customFormat="false" ht="15" hidden="false" customHeight="true" outlineLevel="0" collapsed="false">
      <c r="B155" s="4"/>
      <c r="M155" s="4"/>
    </row>
    <row r="156" customFormat="false" ht="15" hidden="false" customHeight="true" outlineLevel="0" collapsed="false">
      <c r="B156" s="4"/>
      <c r="M156" s="4"/>
    </row>
    <row r="157" customFormat="false" ht="15" hidden="false" customHeight="true" outlineLevel="0" collapsed="false">
      <c r="B157" s="4"/>
      <c r="M157" s="4"/>
    </row>
    <row r="158" customFormat="false" ht="15" hidden="false" customHeight="true" outlineLevel="0" collapsed="false">
      <c r="B158" s="4"/>
      <c r="M158" s="4"/>
    </row>
    <row r="159" customFormat="false" ht="15" hidden="false" customHeight="true" outlineLevel="0" collapsed="false">
      <c r="B159" s="4"/>
      <c r="M159" s="4"/>
    </row>
    <row r="160" customFormat="false" ht="15" hidden="false" customHeight="true" outlineLevel="0" collapsed="false">
      <c r="B160" s="4"/>
      <c r="M160" s="4"/>
    </row>
    <row r="161" customFormat="false" ht="15" hidden="false" customHeight="true" outlineLevel="0" collapsed="false">
      <c r="B161" s="4"/>
      <c r="M161" s="4"/>
    </row>
    <row r="162" customFormat="false" ht="15" hidden="false" customHeight="true" outlineLevel="0" collapsed="false">
      <c r="B162" s="4"/>
      <c r="M162" s="4"/>
    </row>
    <row r="163" customFormat="false" ht="15" hidden="false" customHeight="true" outlineLevel="0" collapsed="false">
      <c r="B163" s="4"/>
      <c r="M163" s="4"/>
    </row>
    <row r="164" customFormat="false" ht="15" hidden="false" customHeight="true" outlineLevel="0" collapsed="false">
      <c r="B164" s="4"/>
      <c r="M164" s="4"/>
    </row>
    <row r="165" customFormat="false" ht="15" hidden="false" customHeight="true" outlineLevel="0" collapsed="false">
      <c r="B165" s="4"/>
      <c r="M165" s="4"/>
    </row>
    <row r="166" customFormat="false" ht="15" hidden="false" customHeight="true" outlineLevel="0" collapsed="false">
      <c r="B166" s="4"/>
      <c r="M166" s="4"/>
    </row>
    <row r="167" customFormat="false" ht="15" hidden="false" customHeight="true" outlineLevel="0" collapsed="false">
      <c r="B167" s="4"/>
      <c r="M167" s="4"/>
    </row>
    <row r="168" customFormat="false" ht="15" hidden="false" customHeight="true" outlineLevel="0" collapsed="false">
      <c r="B168" s="4"/>
      <c r="M168" s="4"/>
    </row>
    <row r="169" customFormat="false" ht="15" hidden="false" customHeight="true" outlineLevel="0" collapsed="false">
      <c r="B169" s="4"/>
      <c r="M169" s="4"/>
    </row>
    <row r="170" customFormat="false" ht="15" hidden="false" customHeight="true" outlineLevel="0" collapsed="false">
      <c r="B170" s="4"/>
      <c r="M170" s="4"/>
    </row>
    <row r="171" customFormat="false" ht="15" hidden="false" customHeight="true" outlineLevel="0" collapsed="false">
      <c r="B171" s="4"/>
      <c r="M171" s="4"/>
    </row>
    <row r="172" customFormat="false" ht="15" hidden="false" customHeight="true" outlineLevel="0" collapsed="false">
      <c r="B172" s="4"/>
      <c r="M172" s="4"/>
    </row>
    <row r="173" customFormat="false" ht="15" hidden="false" customHeight="true" outlineLevel="0" collapsed="false">
      <c r="B173" s="4"/>
      <c r="M173" s="4"/>
    </row>
    <row r="174" customFormat="false" ht="15" hidden="false" customHeight="true" outlineLevel="0" collapsed="false">
      <c r="B174" s="4"/>
      <c r="M174" s="4"/>
    </row>
    <row r="175" customFormat="false" ht="15" hidden="false" customHeight="true" outlineLevel="0" collapsed="false">
      <c r="B175" s="4"/>
      <c r="M175" s="4"/>
    </row>
    <row r="176" customFormat="false" ht="15" hidden="false" customHeight="true" outlineLevel="0" collapsed="false">
      <c r="B176" s="4"/>
      <c r="M176" s="4"/>
    </row>
    <row r="177" customFormat="false" ht="15" hidden="false" customHeight="true" outlineLevel="0" collapsed="false">
      <c r="B177" s="4"/>
      <c r="M177" s="4"/>
    </row>
    <row r="178" customFormat="false" ht="15" hidden="false" customHeight="true" outlineLevel="0" collapsed="false">
      <c r="B178" s="4"/>
      <c r="M178" s="4"/>
    </row>
    <row r="179" customFormat="false" ht="15" hidden="false" customHeight="true" outlineLevel="0" collapsed="false">
      <c r="B179" s="4"/>
      <c r="M179" s="4"/>
    </row>
    <row r="180" customFormat="false" ht="15" hidden="false" customHeight="true" outlineLevel="0" collapsed="false">
      <c r="B180" s="4"/>
      <c r="M180" s="4"/>
    </row>
    <row r="181" customFormat="false" ht="15" hidden="false" customHeight="true" outlineLevel="0" collapsed="false">
      <c r="B181" s="4"/>
      <c r="M181" s="4"/>
    </row>
    <row r="182" customFormat="false" ht="15" hidden="false" customHeight="true" outlineLevel="0" collapsed="false">
      <c r="B182" s="4"/>
      <c r="M182" s="4"/>
    </row>
    <row r="183" customFormat="false" ht="15" hidden="false" customHeight="true" outlineLevel="0" collapsed="false">
      <c r="B183" s="4"/>
      <c r="M183" s="4"/>
    </row>
    <row r="184" customFormat="false" ht="15" hidden="false" customHeight="true" outlineLevel="0" collapsed="false">
      <c r="B184" s="4"/>
      <c r="M184" s="4"/>
    </row>
    <row r="185" customFormat="false" ht="15" hidden="false" customHeight="true" outlineLevel="0" collapsed="false">
      <c r="B185" s="4"/>
      <c r="M185" s="4"/>
    </row>
    <row r="186" customFormat="false" ht="15" hidden="false" customHeight="true" outlineLevel="0" collapsed="false">
      <c r="B186" s="4"/>
      <c r="M186" s="4"/>
    </row>
    <row r="187" customFormat="false" ht="15" hidden="false" customHeight="true" outlineLevel="0" collapsed="false">
      <c r="B187" s="4"/>
      <c r="M187" s="4"/>
    </row>
    <row r="188" customFormat="false" ht="15" hidden="false" customHeight="true" outlineLevel="0" collapsed="false">
      <c r="B188" s="4"/>
      <c r="M188" s="4"/>
    </row>
    <row r="189" customFormat="false" ht="15" hidden="false" customHeight="true" outlineLevel="0" collapsed="false">
      <c r="B189" s="4"/>
      <c r="M189" s="4"/>
    </row>
    <row r="190" customFormat="false" ht="15" hidden="false" customHeight="true" outlineLevel="0" collapsed="false">
      <c r="B190" s="4"/>
      <c r="M190" s="4"/>
    </row>
    <row r="191" customFormat="false" ht="15" hidden="false" customHeight="true" outlineLevel="0" collapsed="false">
      <c r="B191" s="4"/>
      <c r="M191" s="4"/>
    </row>
    <row r="192" customFormat="false" ht="15" hidden="false" customHeight="true" outlineLevel="0" collapsed="false">
      <c r="B192" s="4"/>
      <c r="M192" s="4"/>
    </row>
    <row r="193" customFormat="false" ht="15" hidden="false" customHeight="true" outlineLevel="0" collapsed="false">
      <c r="B193" s="4"/>
      <c r="M193" s="4"/>
    </row>
    <row r="194" customFormat="false" ht="15" hidden="false" customHeight="true" outlineLevel="0" collapsed="false">
      <c r="B194" s="4"/>
      <c r="M194" s="4"/>
    </row>
    <row r="195" customFormat="false" ht="15" hidden="false" customHeight="true" outlineLevel="0" collapsed="false">
      <c r="B195" s="4"/>
      <c r="M195" s="4"/>
    </row>
    <row r="196" customFormat="false" ht="15" hidden="false" customHeight="true" outlineLevel="0" collapsed="false">
      <c r="B196" s="4"/>
      <c r="M196" s="4"/>
    </row>
    <row r="197" customFormat="false" ht="15" hidden="false" customHeight="true" outlineLevel="0" collapsed="false">
      <c r="B197" s="4"/>
      <c r="M197" s="4"/>
    </row>
    <row r="198" customFormat="false" ht="15" hidden="false" customHeight="true" outlineLevel="0" collapsed="false">
      <c r="B198" s="4"/>
      <c r="M198" s="4"/>
    </row>
    <row r="199" customFormat="false" ht="15" hidden="false" customHeight="true" outlineLevel="0" collapsed="false">
      <c r="B199" s="4"/>
      <c r="M199" s="4"/>
    </row>
    <row r="200" customFormat="false" ht="15" hidden="false" customHeight="true" outlineLevel="0" collapsed="false">
      <c r="B200" s="4"/>
      <c r="M200" s="4"/>
    </row>
    <row r="201" customFormat="false" ht="15" hidden="false" customHeight="true" outlineLevel="0" collapsed="false">
      <c r="B201" s="4"/>
      <c r="M201" s="4"/>
    </row>
    <row r="202" customFormat="false" ht="15" hidden="false" customHeight="true" outlineLevel="0" collapsed="false">
      <c r="B202" s="4"/>
      <c r="M202" s="4"/>
    </row>
    <row r="203" customFormat="false" ht="15" hidden="false" customHeight="true" outlineLevel="0" collapsed="false">
      <c r="B203" s="4"/>
      <c r="M203" s="4"/>
    </row>
    <row r="204" customFormat="false" ht="15" hidden="false" customHeight="true" outlineLevel="0" collapsed="false">
      <c r="B204" s="4"/>
      <c r="M204" s="4"/>
    </row>
    <row r="205" customFormat="false" ht="15" hidden="false" customHeight="true" outlineLevel="0" collapsed="false">
      <c r="B205" s="4"/>
      <c r="M205" s="4"/>
    </row>
    <row r="206" customFormat="false" ht="15" hidden="false" customHeight="true" outlineLevel="0" collapsed="false">
      <c r="B206" s="4"/>
      <c r="M206" s="4"/>
    </row>
    <row r="207" customFormat="false" ht="15" hidden="false" customHeight="true" outlineLevel="0" collapsed="false">
      <c r="B207" s="4"/>
      <c r="M207" s="4"/>
    </row>
    <row r="208" customFormat="false" ht="15" hidden="false" customHeight="true" outlineLevel="0" collapsed="false">
      <c r="B208" s="4"/>
      <c r="M208" s="4"/>
    </row>
    <row r="209" customFormat="false" ht="15" hidden="false" customHeight="true" outlineLevel="0" collapsed="false">
      <c r="B209" s="4"/>
      <c r="M209" s="4"/>
    </row>
    <row r="210" customFormat="false" ht="15" hidden="false" customHeight="true" outlineLevel="0" collapsed="false">
      <c r="B210" s="4"/>
      <c r="M210" s="4"/>
    </row>
    <row r="211" customFormat="false" ht="15" hidden="false" customHeight="true" outlineLevel="0" collapsed="false">
      <c r="B211" s="4"/>
      <c r="M211" s="4"/>
    </row>
    <row r="212" customFormat="false" ht="15" hidden="false" customHeight="true" outlineLevel="0" collapsed="false">
      <c r="B212" s="4"/>
      <c r="M212" s="4"/>
    </row>
    <row r="213" customFormat="false" ht="15" hidden="false" customHeight="true" outlineLevel="0" collapsed="false">
      <c r="B213" s="4"/>
      <c r="M213" s="4"/>
    </row>
    <row r="214" customFormat="false" ht="15" hidden="false" customHeight="true" outlineLevel="0" collapsed="false">
      <c r="B214" s="4"/>
      <c r="M214" s="4"/>
    </row>
    <row r="215" customFormat="false" ht="15" hidden="false" customHeight="true" outlineLevel="0" collapsed="false">
      <c r="B215" s="4"/>
      <c r="M215" s="4"/>
    </row>
    <row r="216" customFormat="false" ht="15" hidden="false" customHeight="true" outlineLevel="0" collapsed="false">
      <c r="B216" s="4"/>
      <c r="M216" s="4"/>
    </row>
    <row r="217" customFormat="false" ht="15" hidden="false" customHeight="true" outlineLevel="0" collapsed="false">
      <c r="B217" s="4"/>
      <c r="M217" s="4"/>
    </row>
    <row r="218" customFormat="false" ht="15" hidden="false" customHeight="true" outlineLevel="0" collapsed="false">
      <c r="B218" s="4"/>
      <c r="M218" s="4"/>
    </row>
    <row r="219" customFormat="false" ht="15" hidden="false" customHeight="true" outlineLevel="0" collapsed="false">
      <c r="B219" s="4"/>
      <c r="M219" s="4"/>
    </row>
    <row r="220" customFormat="false" ht="15" hidden="false" customHeight="true" outlineLevel="0" collapsed="false">
      <c r="B220" s="4"/>
      <c r="M220" s="4"/>
    </row>
    <row r="221" customFormat="false" ht="15" hidden="false" customHeight="true" outlineLevel="0" collapsed="false">
      <c r="B221" s="4"/>
      <c r="M221" s="4"/>
    </row>
    <row r="222" customFormat="false" ht="15" hidden="false" customHeight="true" outlineLevel="0" collapsed="false">
      <c r="B222" s="4"/>
      <c r="M222" s="4"/>
    </row>
    <row r="223" customFormat="false" ht="15" hidden="false" customHeight="true" outlineLevel="0" collapsed="false">
      <c r="B223" s="4"/>
      <c r="M223" s="4"/>
    </row>
    <row r="224" customFormat="false" ht="15" hidden="false" customHeight="true" outlineLevel="0" collapsed="false">
      <c r="B224" s="4"/>
      <c r="M224" s="4"/>
    </row>
    <row r="225" customFormat="false" ht="15" hidden="false" customHeight="true" outlineLevel="0" collapsed="false">
      <c r="B225" s="4"/>
      <c r="M225" s="4"/>
    </row>
    <row r="226" customFormat="false" ht="15" hidden="false" customHeight="true" outlineLevel="0" collapsed="false">
      <c r="B226" s="4"/>
      <c r="M226" s="4"/>
    </row>
    <row r="227" customFormat="false" ht="15" hidden="false" customHeight="true" outlineLevel="0" collapsed="false">
      <c r="B227" s="4"/>
      <c r="M227" s="4"/>
    </row>
    <row r="228" customFormat="false" ht="15" hidden="false" customHeight="true" outlineLevel="0" collapsed="false">
      <c r="B228" s="4"/>
      <c r="M228" s="4"/>
    </row>
    <row r="229" customFormat="false" ht="15" hidden="false" customHeight="true" outlineLevel="0" collapsed="false">
      <c r="B229" s="4"/>
      <c r="M229" s="4"/>
    </row>
    <row r="230" customFormat="false" ht="15" hidden="false" customHeight="true" outlineLevel="0" collapsed="false">
      <c r="B230" s="4"/>
      <c r="M230" s="4"/>
    </row>
    <row r="231" customFormat="false" ht="15" hidden="false" customHeight="true" outlineLevel="0" collapsed="false">
      <c r="B231" s="4"/>
      <c r="M231" s="4"/>
    </row>
    <row r="232" customFormat="false" ht="15" hidden="false" customHeight="true" outlineLevel="0" collapsed="false">
      <c r="B232" s="4"/>
      <c r="M232" s="4"/>
    </row>
    <row r="233" customFormat="false" ht="15" hidden="false" customHeight="true" outlineLevel="0" collapsed="false">
      <c r="B233" s="4"/>
      <c r="M233" s="4"/>
    </row>
    <row r="234" customFormat="false" ht="15" hidden="false" customHeight="true" outlineLevel="0" collapsed="false">
      <c r="B234" s="4"/>
      <c r="M234" s="4"/>
    </row>
    <row r="235" customFormat="false" ht="15" hidden="false" customHeight="true" outlineLevel="0" collapsed="false">
      <c r="B235" s="4"/>
      <c r="M235" s="4"/>
    </row>
    <row r="236" customFormat="false" ht="15" hidden="false" customHeight="true" outlineLevel="0" collapsed="false">
      <c r="B236" s="4"/>
      <c r="M236" s="4"/>
    </row>
    <row r="237" customFormat="false" ht="15" hidden="false" customHeight="true" outlineLevel="0" collapsed="false">
      <c r="B237" s="4"/>
      <c r="M237" s="4"/>
    </row>
    <row r="238" customFormat="false" ht="15" hidden="false" customHeight="true" outlineLevel="0" collapsed="false">
      <c r="B238" s="4"/>
      <c r="M238" s="4"/>
    </row>
    <row r="239" customFormat="false" ht="15" hidden="false" customHeight="true" outlineLevel="0" collapsed="false">
      <c r="B239" s="4"/>
      <c r="M239" s="4"/>
    </row>
    <row r="240" customFormat="false" ht="15" hidden="false" customHeight="true" outlineLevel="0" collapsed="false">
      <c r="B240" s="4"/>
      <c r="M240" s="4"/>
    </row>
    <row r="241" customFormat="false" ht="15" hidden="false" customHeight="true" outlineLevel="0" collapsed="false">
      <c r="B241" s="4"/>
      <c r="M241" s="4"/>
    </row>
    <row r="242" customFormat="false" ht="15" hidden="false" customHeight="true" outlineLevel="0" collapsed="false">
      <c r="B242" s="4"/>
      <c r="M242" s="4"/>
    </row>
    <row r="243" customFormat="false" ht="15" hidden="false" customHeight="true" outlineLevel="0" collapsed="false">
      <c r="B243" s="4"/>
      <c r="M243" s="4"/>
    </row>
    <row r="244" customFormat="false" ht="15" hidden="false" customHeight="true" outlineLevel="0" collapsed="false">
      <c r="B244" s="4"/>
      <c r="M244" s="4"/>
    </row>
    <row r="245" customFormat="false" ht="15" hidden="false" customHeight="true" outlineLevel="0" collapsed="false">
      <c r="B245" s="4"/>
      <c r="M245" s="4"/>
    </row>
    <row r="246" customFormat="false" ht="15" hidden="false" customHeight="true" outlineLevel="0" collapsed="false">
      <c r="B246" s="4"/>
      <c r="M246" s="4"/>
    </row>
    <row r="247" customFormat="false" ht="15" hidden="false" customHeight="true" outlineLevel="0" collapsed="false">
      <c r="B247" s="4"/>
      <c r="M247" s="4"/>
    </row>
    <row r="248" customFormat="false" ht="15" hidden="false" customHeight="true" outlineLevel="0" collapsed="false">
      <c r="B248" s="4"/>
      <c r="M248" s="4"/>
    </row>
    <row r="249" customFormat="false" ht="15" hidden="false" customHeight="true" outlineLevel="0" collapsed="false">
      <c r="B249" s="4"/>
      <c r="M249" s="4"/>
    </row>
    <row r="250" customFormat="false" ht="15" hidden="false" customHeight="true" outlineLevel="0" collapsed="false">
      <c r="B250" s="4"/>
      <c r="M250" s="4"/>
    </row>
    <row r="251" customFormat="false" ht="15" hidden="false" customHeight="true" outlineLevel="0" collapsed="false">
      <c r="B251" s="4"/>
      <c r="M251" s="4"/>
    </row>
    <row r="252" customFormat="false" ht="15" hidden="false" customHeight="true" outlineLevel="0" collapsed="false">
      <c r="B252" s="4"/>
      <c r="M252" s="4"/>
    </row>
    <row r="253" customFormat="false" ht="15" hidden="false" customHeight="true" outlineLevel="0" collapsed="false">
      <c r="B253" s="4"/>
      <c r="M253" s="4"/>
    </row>
    <row r="254" customFormat="false" ht="15" hidden="false" customHeight="true" outlineLevel="0" collapsed="false">
      <c r="B254" s="4"/>
      <c r="M254" s="4"/>
    </row>
    <row r="255" customFormat="false" ht="15" hidden="false" customHeight="true" outlineLevel="0" collapsed="false">
      <c r="B255" s="4"/>
      <c r="M255" s="4"/>
    </row>
    <row r="256" customFormat="false" ht="15" hidden="false" customHeight="true" outlineLevel="0" collapsed="false">
      <c r="B256" s="4"/>
      <c r="M256" s="4"/>
    </row>
    <row r="257" customFormat="false" ht="15" hidden="false" customHeight="true" outlineLevel="0" collapsed="false">
      <c r="B257" s="4"/>
      <c r="M257" s="4"/>
    </row>
    <row r="258" customFormat="false" ht="15" hidden="false" customHeight="true" outlineLevel="0" collapsed="false">
      <c r="B258" s="4"/>
      <c r="M258" s="4"/>
    </row>
    <row r="259" customFormat="false" ht="15" hidden="false" customHeight="true" outlineLevel="0" collapsed="false">
      <c r="B259" s="4"/>
      <c r="M259" s="4"/>
    </row>
    <row r="260" customFormat="false" ht="15" hidden="false" customHeight="true" outlineLevel="0" collapsed="false">
      <c r="B260" s="4"/>
      <c r="M260" s="4"/>
    </row>
    <row r="261" customFormat="false" ht="15" hidden="false" customHeight="true" outlineLevel="0" collapsed="false">
      <c r="B261" s="4"/>
      <c r="M261" s="4"/>
    </row>
    <row r="262" customFormat="false" ht="15" hidden="false" customHeight="true" outlineLevel="0" collapsed="false">
      <c r="B262" s="4"/>
      <c r="M262" s="4"/>
    </row>
    <row r="263" customFormat="false" ht="15" hidden="false" customHeight="true" outlineLevel="0" collapsed="false">
      <c r="B263" s="4"/>
      <c r="M263" s="4"/>
    </row>
    <row r="264" customFormat="false" ht="15" hidden="false" customHeight="true" outlineLevel="0" collapsed="false">
      <c r="B264" s="4"/>
      <c r="M264" s="4"/>
    </row>
    <row r="265" customFormat="false" ht="15" hidden="false" customHeight="true" outlineLevel="0" collapsed="false">
      <c r="B265" s="4"/>
      <c r="M265" s="4"/>
    </row>
    <row r="266" customFormat="false" ht="15" hidden="false" customHeight="true" outlineLevel="0" collapsed="false">
      <c r="B266" s="4"/>
      <c r="M266" s="4"/>
    </row>
    <row r="267" customFormat="false" ht="15" hidden="false" customHeight="true" outlineLevel="0" collapsed="false">
      <c r="B267" s="4"/>
      <c r="M267" s="4"/>
    </row>
    <row r="268" customFormat="false" ht="15" hidden="false" customHeight="true" outlineLevel="0" collapsed="false">
      <c r="B268" s="4"/>
      <c r="M268" s="4"/>
    </row>
    <row r="269" customFormat="false" ht="15" hidden="false" customHeight="true" outlineLevel="0" collapsed="false">
      <c r="B269" s="4"/>
      <c r="M269" s="4"/>
    </row>
    <row r="270" customFormat="false" ht="15" hidden="false" customHeight="true" outlineLevel="0" collapsed="false">
      <c r="B270" s="4"/>
      <c r="M270" s="4"/>
    </row>
    <row r="271" customFormat="false" ht="15" hidden="false" customHeight="true" outlineLevel="0" collapsed="false">
      <c r="B271" s="4"/>
      <c r="M271" s="4"/>
    </row>
    <row r="272" customFormat="false" ht="15" hidden="false" customHeight="true" outlineLevel="0" collapsed="false">
      <c r="B272" s="4"/>
      <c r="M272" s="4"/>
    </row>
    <row r="273" customFormat="false" ht="15" hidden="false" customHeight="true" outlineLevel="0" collapsed="false">
      <c r="B273" s="4"/>
      <c r="M273" s="4"/>
    </row>
    <row r="274" customFormat="false" ht="15" hidden="false" customHeight="true" outlineLevel="0" collapsed="false">
      <c r="B274" s="4"/>
      <c r="M274" s="4"/>
    </row>
    <row r="275" customFormat="false" ht="15" hidden="false" customHeight="true" outlineLevel="0" collapsed="false">
      <c r="B275" s="4"/>
      <c r="M275" s="4"/>
    </row>
    <row r="276" customFormat="false" ht="15" hidden="false" customHeight="true" outlineLevel="0" collapsed="false">
      <c r="B276" s="4"/>
      <c r="M276" s="4"/>
    </row>
    <row r="277" customFormat="false" ht="15" hidden="false" customHeight="true" outlineLevel="0" collapsed="false">
      <c r="B277" s="4"/>
      <c r="M277" s="4"/>
    </row>
    <row r="278" customFormat="false" ht="15" hidden="false" customHeight="true" outlineLevel="0" collapsed="false">
      <c r="B278" s="4"/>
      <c r="M278" s="4"/>
    </row>
    <row r="279" customFormat="false" ht="15" hidden="false" customHeight="true" outlineLevel="0" collapsed="false">
      <c r="B279" s="4"/>
      <c r="M279" s="4"/>
    </row>
    <row r="280" customFormat="false" ht="15" hidden="false" customHeight="true" outlineLevel="0" collapsed="false">
      <c r="B280" s="4"/>
      <c r="M280" s="4"/>
    </row>
    <row r="281" customFormat="false" ht="15" hidden="false" customHeight="true" outlineLevel="0" collapsed="false">
      <c r="B281" s="4"/>
      <c r="M281" s="4"/>
    </row>
    <row r="282" customFormat="false" ht="15" hidden="false" customHeight="true" outlineLevel="0" collapsed="false">
      <c r="B282" s="4"/>
      <c r="M282" s="4"/>
    </row>
    <row r="283" customFormat="false" ht="15" hidden="false" customHeight="true" outlineLevel="0" collapsed="false">
      <c r="B283" s="4"/>
      <c r="M283" s="4"/>
    </row>
    <row r="284" customFormat="false" ht="15" hidden="false" customHeight="true" outlineLevel="0" collapsed="false">
      <c r="B284" s="4"/>
      <c r="M284" s="4"/>
    </row>
    <row r="285" customFormat="false" ht="15" hidden="false" customHeight="true" outlineLevel="0" collapsed="false">
      <c r="B285" s="4"/>
      <c r="M285" s="4"/>
    </row>
    <row r="286" customFormat="false" ht="15" hidden="false" customHeight="true" outlineLevel="0" collapsed="false">
      <c r="B286" s="4"/>
      <c r="M286" s="4"/>
    </row>
    <row r="287" customFormat="false" ht="15" hidden="false" customHeight="true" outlineLevel="0" collapsed="false">
      <c r="B287" s="4"/>
      <c r="M287" s="4"/>
    </row>
    <row r="288" customFormat="false" ht="15" hidden="false" customHeight="true" outlineLevel="0" collapsed="false">
      <c r="B288" s="4"/>
      <c r="M288" s="4"/>
    </row>
    <row r="289" customFormat="false" ht="15" hidden="false" customHeight="true" outlineLevel="0" collapsed="false">
      <c r="B289" s="4"/>
      <c r="M289" s="4"/>
    </row>
    <row r="290" customFormat="false" ht="15" hidden="false" customHeight="true" outlineLevel="0" collapsed="false">
      <c r="B290" s="4"/>
      <c r="M290" s="4"/>
    </row>
    <row r="291" customFormat="false" ht="15" hidden="false" customHeight="true" outlineLevel="0" collapsed="false">
      <c r="B291" s="4"/>
      <c r="M291" s="4"/>
    </row>
    <row r="292" customFormat="false" ht="15" hidden="false" customHeight="true" outlineLevel="0" collapsed="false">
      <c r="B292" s="4"/>
      <c r="M292" s="4"/>
    </row>
    <row r="293" customFormat="false" ht="15" hidden="false" customHeight="true" outlineLevel="0" collapsed="false">
      <c r="B293" s="4"/>
      <c r="M293" s="4"/>
    </row>
    <row r="294" customFormat="false" ht="15" hidden="false" customHeight="true" outlineLevel="0" collapsed="false">
      <c r="B294" s="4"/>
      <c r="M294" s="4"/>
    </row>
    <row r="295" customFormat="false" ht="15" hidden="false" customHeight="true" outlineLevel="0" collapsed="false">
      <c r="B295" s="4"/>
      <c r="M295" s="4"/>
    </row>
    <row r="296" customFormat="false" ht="15" hidden="false" customHeight="true" outlineLevel="0" collapsed="false">
      <c r="B296" s="4"/>
      <c r="M296" s="4"/>
    </row>
    <row r="297" customFormat="false" ht="15" hidden="false" customHeight="true" outlineLevel="0" collapsed="false">
      <c r="B297" s="4"/>
      <c r="M297" s="4"/>
    </row>
    <row r="298" customFormat="false" ht="15" hidden="false" customHeight="true" outlineLevel="0" collapsed="false">
      <c r="B298" s="4"/>
      <c r="M298" s="4"/>
    </row>
    <row r="299" customFormat="false" ht="15" hidden="false" customHeight="true" outlineLevel="0" collapsed="false">
      <c r="B299" s="4"/>
      <c r="M299" s="4"/>
    </row>
    <row r="300" customFormat="false" ht="15" hidden="false" customHeight="true" outlineLevel="0" collapsed="false">
      <c r="B300" s="4"/>
      <c r="M300" s="4"/>
    </row>
    <row r="301" customFormat="false" ht="15" hidden="false" customHeight="true" outlineLevel="0" collapsed="false">
      <c r="B301" s="4"/>
      <c r="M301" s="4"/>
    </row>
    <row r="302" customFormat="false" ht="15" hidden="false" customHeight="true" outlineLevel="0" collapsed="false">
      <c r="B302" s="4"/>
      <c r="M302" s="4"/>
    </row>
    <row r="303" customFormat="false" ht="15" hidden="false" customHeight="true" outlineLevel="0" collapsed="false">
      <c r="B303" s="4"/>
      <c r="M303" s="4"/>
    </row>
    <row r="304" customFormat="false" ht="15" hidden="false" customHeight="true" outlineLevel="0" collapsed="false">
      <c r="B304" s="4"/>
      <c r="M304" s="4"/>
    </row>
    <row r="305" customFormat="false" ht="15" hidden="false" customHeight="true" outlineLevel="0" collapsed="false">
      <c r="B305" s="4"/>
      <c r="M305" s="4"/>
    </row>
    <row r="306" customFormat="false" ht="15" hidden="false" customHeight="true" outlineLevel="0" collapsed="false">
      <c r="B306" s="4"/>
      <c r="M306" s="4"/>
    </row>
    <row r="307" customFormat="false" ht="15" hidden="false" customHeight="true" outlineLevel="0" collapsed="false">
      <c r="B307" s="4"/>
      <c r="M307" s="4"/>
    </row>
    <row r="308" customFormat="false" ht="15" hidden="false" customHeight="true" outlineLevel="0" collapsed="false">
      <c r="B308" s="4"/>
      <c r="M308" s="4"/>
    </row>
    <row r="309" customFormat="false" ht="15" hidden="false" customHeight="true" outlineLevel="0" collapsed="false">
      <c r="B309" s="4"/>
      <c r="M309" s="4"/>
    </row>
    <row r="310" customFormat="false" ht="15" hidden="false" customHeight="true" outlineLevel="0" collapsed="false">
      <c r="B310" s="4"/>
      <c r="M310" s="4"/>
    </row>
    <row r="311" customFormat="false" ht="15" hidden="false" customHeight="true" outlineLevel="0" collapsed="false">
      <c r="B311" s="4"/>
      <c r="M311" s="4"/>
    </row>
    <row r="312" customFormat="false" ht="15" hidden="false" customHeight="true" outlineLevel="0" collapsed="false">
      <c r="B312" s="4"/>
      <c r="M312" s="4"/>
    </row>
    <row r="313" customFormat="false" ht="15" hidden="false" customHeight="true" outlineLevel="0" collapsed="false">
      <c r="B313" s="4"/>
      <c r="M313" s="4"/>
    </row>
    <row r="314" customFormat="false" ht="15" hidden="false" customHeight="true" outlineLevel="0" collapsed="false">
      <c r="B314" s="4"/>
      <c r="M314" s="4"/>
    </row>
    <row r="315" customFormat="false" ht="15" hidden="false" customHeight="true" outlineLevel="0" collapsed="false">
      <c r="B315" s="4"/>
      <c r="M315" s="4"/>
    </row>
    <row r="316" customFormat="false" ht="15" hidden="false" customHeight="true" outlineLevel="0" collapsed="false">
      <c r="B316" s="4"/>
      <c r="M316" s="4"/>
    </row>
    <row r="317" customFormat="false" ht="15" hidden="false" customHeight="true" outlineLevel="0" collapsed="false">
      <c r="B317" s="4"/>
      <c r="M317" s="4"/>
    </row>
    <row r="318" customFormat="false" ht="15" hidden="false" customHeight="true" outlineLevel="0" collapsed="false">
      <c r="B318" s="4"/>
      <c r="M318" s="4"/>
    </row>
    <row r="319" customFormat="false" ht="15" hidden="false" customHeight="true" outlineLevel="0" collapsed="false">
      <c r="B319" s="4"/>
      <c r="M319" s="4"/>
    </row>
    <row r="320" customFormat="false" ht="15" hidden="false" customHeight="true" outlineLevel="0" collapsed="false">
      <c r="B320" s="4"/>
      <c r="M320" s="4"/>
    </row>
    <row r="321" customFormat="false" ht="15" hidden="false" customHeight="true" outlineLevel="0" collapsed="false">
      <c r="B321" s="4"/>
      <c r="M321" s="4"/>
    </row>
    <row r="322" customFormat="false" ht="15" hidden="false" customHeight="true" outlineLevel="0" collapsed="false">
      <c r="B322" s="4"/>
      <c r="M322" s="4"/>
    </row>
    <row r="323" customFormat="false" ht="15" hidden="false" customHeight="true" outlineLevel="0" collapsed="false">
      <c r="B323" s="4"/>
      <c r="M323" s="4"/>
    </row>
    <row r="324" customFormat="false" ht="15" hidden="false" customHeight="true" outlineLevel="0" collapsed="false">
      <c r="B324" s="4"/>
      <c r="M324" s="4"/>
    </row>
    <row r="325" customFormat="false" ht="15" hidden="false" customHeight="true" outlineLevel="0" collapsed="false">
      <c r="B325" s="4"/>
      <c r="M325" s="4"/>
    </row>
    <row r="326" customFormat="false" ht="15" hidden="false" customHeight="true" outlineLevel="0" collapsed="false">
      <c r="B326" s="4"/>
      <c r="M326" s="4"/>
    </row>
    <row r="327" customFormat="false" ht="15" hidden="false" customHeight="true" outlineLevel="0" collapsed="false">
      <c r="B327" s="4"/>
      <c r="M327" s="4"/>
    </row>
    <row r="328" customFormat="false" ht="15" hidden="false" customHeight="true" outlineLevel="0" collapsed="false">
      <c r="B328" s="4"/>
      <c r="M328" s="4"/>
    </row>
    <row r="329" customFormat="false" ht="15" hidden="false" customHeight="true" outlineLevel="0" collapsed="false">
      <c r="B329" s="4"/>
      <c r="M329" s="4"/>
    </row>
    <row r="330" customFormat="false" ht="15" hidden="false" customHeight="true" outlineLevel="0" collapsed="false">
      <c r="B330" s="4"/>
      <c r="M330" s="4"/>
    </row>
    <row r="331" customFormat="false" ht="15" hidden="false" customHeight="true" outlineLevel="0" collapsed="false">
      <c r="B331" s="4"/>
      <c r="M331" s="4"/>
    </row>
    <row r="332" customFormat="false" ht="15" hidden="false" customHeight="true" outlineLevel="0" collapsed="false">
      <c r="B332" s="4"/>
      <c r="M332" s="4"/>
    </row>
    <row r="333" customFormat="false" ht="15" hidden="false" customHeight="true" outlineLevel="0" collapsed="false">
      <c r="B333" s="4"/>
      <c r="M333" s="4"/>
    </row>
    <row r="334" customFormat="false" ht="15" hidden="false" customHeight="true" outlineLevel="0" collapsed="false">
      <c r="B334" s="4"/>
      <c r="M334" s="4"/>
    </row>
    <row r="335" customFormat="false" ht="15" hidden="false" customHeight="true" outlineLevel="0" collapsed="false">
      <c r="B335" s="4"/>
      <c r="M335" s="4"/>
    </row>
    <row r="336" customFormat="false" ht="15" hidden="false" customHeight="true" outlineLevel="0" collapsed="false">
      <c r="B336" s="4"/>
      <c r="M336" s="4"/>
    </row>
    <row r="337" customFormat="false" ht="15" hidden="false" customHeight="true" outlineLevel="0" collapsed="false">
      <c r="B337" s="4"/>
      <c r="M337" s="4"/>
    </row>
    <row r="338" customFormat="false" ht="15" hidden="false" customHeight="true" outlineLevel="0" collapsed="false">
      <c r="B338" s="4"/>
      <c r="M338" s="4"/>
    </row>
    <row r="339" customFormat="false" ht="15" hidden="false" customHeight="true" outlineLevel="0" collapsed="false">
      <c r="B339" s="4"/>
      <c r="M339" s="4"/>
    </row>
    <row r="340" customFormat="false" ht="15" hidden="false" customHeight="true" outlineLevel="0" collapsed="false">
      <c r="B340" s="4"/>
      <c r="M340" s="4"/>
    </row>
    <row r="341" customFormat="false" ht="15" hidden="false" customHeight="true" outlineLevel="0" collapsed="false">
      <c r="B341" s="4"/>
      <c r="M341" s="4"/>
    </row>
    <row r="342" customFormat="false" ht="15" hidden="false" customHeight="true" outlineLevel="0" collapsed="false">
      <c r="B342" s="4"/>
      <c r="M342" s="4"/>
    </row>
    <row r="343" customFormat="false" ht="15" hidden="false" customHeight="true" outlineLevel="0" collapsed="false">
      <c r="B343" s="4"/>
      <c r="M343" s="4"/>
    </row>
    <row r="344" customFormat="false" ht="15" hidden="false" customHeight="true" outlineLevel="0" collapsed="false">
      <c r="B344" s="4"/>
      <c r="M344" s="4"/>
    </row>
    <row r="345" customFormat="false" ht="15" hidden="false" customHeight="true" outlineLevel="0" collapsed="false">
      <c r="B345" s="4"/>
      <c r="M345" s="4"/>
    </row>
    <row r="346" customFormat="false" ht="15" hidden="false" customHeight="true" outlineLevel="0" collapsed="false">
      <c r="B346" s="4"/>
      <c r="M346" s="4"/>
    </row>
    <row r="347" customFormat="false" ht="15" hidden="false" customHeight="true" outlineLevel="0" collapsed="false">
      <c r="B347" s="4"/>
      <c r="M347" s="4"/>
    </row>
    <row r="348" customFormat="false" ht="15" hidden="false" customHeight="true" outlineLevel="0" collapsed="false">
      <c r="B348" s="4"/>
      <c r="M348" s="4"/>
    </row>
    <row r="349" customFormat="false" ht="15" hidden="false" customHeight="true" outlineLevel="0" collapsed="false">
      <c r="B349" s="4"/>
      <c r="M349" s="4"/>
    </row>
    <row r="350" customFormat="false" ht="15" hidden="false" customHeight="true" outlineLevel="0" collapsed="false">
      <c r="B350" s="4"/>
      <c r="M350" s="4"/>
    </row>
    <row r="351" customFormat="false" ht="15" hidden="false" customHeight="true" outlineLevel="0" collapsed="false">
      <c r="B351" s="4"/>
      <c r="M351" s="4"/>
    </row>
    <row r="352" customFormat="false" ht="15" hidden="false" customHeight="true" outlineLevel="0" collapsed="false">
      <c r="B352" s="4"/>
      <c r="M352" s="4"/>
    </row>
    <row r="353" customFormat="false" ht="15" hidden="false" customHeight="true" outlineLevel="0" collapsed="false">
      <c r="B353" s="4"/>
      <c r="M353" s="4"/>
    </row>
    <row r="354" customFormat="false" ht="15" hidden="false" customHeight="true" outlineLevel="0" collapsed="false">
      <c r="B354" s="4"/>
      <c r="M354" s="4"/>
    </row>
    <row r="355" customFormat="false" ht="15" hidden="false" customHeight="true" outlineLevel="0" collapsed="false">
      <c r="B355" s="4"/>
      <c r="M355" s="4"/>
    </row>
    <row r="356" customFormat="false" ht="15" hidden="false" customHeight="true" outlineLevel="0" collapsed="false">
      <c r="B356" s="4"/>
      <c r="M356" s="4"/>
    </row>
    <row r="357" customFormat="false" ht="15" hidden="false" customHeight="true" outlineLevel="0" collapsed="false">
      <c r="B357" s="4"/>
      <c r="M357" s="4"/>
    </row>
    <row r="358" customFormat="false" ht="15" hidden="false" customHeight="true" outlineLevel="0" collapsed="false">
      <c r="B358" s="4"/>
      <c r="M358" s="4"/>
    </row>
    <row r="359" customFormat="false" ht="15" hidden="false" customHeight="true" outlineLevel="0" collapsed="false">
      <c r="B359" s="4"/>
      <c r="M359" s="4"/>
    </row>
    <row r="360" customFormat="false" ht="15" hidden="false" customHeight="true" outlineLevel="0" collapsed="false">
      <c r="B360" s="4"/>
      <c r="M360" s="4"/>
    </row>
    <row r="361" customFormat="false" ht="15" hidden="false" customHeight="true" outlineLevel="0" collapsed="false">
      <c r="B361" s="4"/>
      <c r="M361" s="4"/>
    </row>
    <row r="362" customFormat="false" ht="15" hidden="false" customHeight="true" outlineLevel="0" collapsed="false">
      <c r="B362" s="4"/>
      <c r="M362" s="4"/>
    </row>
    <row r="363" customFormat="false" ht="15" hidden="false" customHeight="true" outlineLevel="0" collapsed="false">
      <c r="B363" s="4"/>
      <c r="M363" s="4"/>
    </row>
    <row r="364" customFormat="false" ht="15" hidden="false" customHeight="true" outlineLevel="0" collapsed="false">
      <c r="B364" s="4"/>
      <c r="M364" s="4"/>
    </row>
    <row r="365" customFormat="false" ht="15" hidden="false" customHeight="true" outlineLevel="0" collapsed="false">
      <c r="B365" s="4"/>
      <c r="M365" s="4"/>
    </row>
    <row r="366" customFormat="false" ht="15" hidden="false" customHeight="true" outlineLevel="0" collapsed="false">
      <c r="B366" s="4"/>
      <c r="M366" s="4"/>
    </row>
    <row r="367" customFormat="false" ht="15" hidden="false" customHeight="true" outlineLevel="0" collapsed="false">
      <c r="B367" s="4"/>
      <c r="M367" s="4"/>
    </row>
    <row r="368" customFormat="false" ht="15" hidden="false" customHeight="true" outlineLevel="0" collapsed="false">
      <c r="B368" s="4"/>
      <c r="M368" s="4"/>
    </row>
    <row r="369" customFormat="false" ht="15" hidden="false" customHeight="true" outlineLevel="0" collapsed="false">
      <c r="B369" s="4"/>
      <c r="M369" s="4"/>
    </row>
    <row r="370" customFormat="false" ht="15" hidden="false" customHeight="true" outlineLevel="0" collapsed="false">
      <c r="B370" s="4"/>
      <c r="M370" s="4"/>
    </row>
    <row r="371" customFormat="false" ht="15" hidden="false" customHeight="true" outlineLevel="0" collapsed="false">
      <c r="B371" s="4"/>
      <c r="M371" s="4"/>
    </row>
    <row r="372" customFormat="false" ht="15" hidden="false" customHeight="true" outlineLevel="0" collapsed="false">
      <c r="B372" s="4"/>
      <c r="M372" s="4"/>
    </row>
    <row r="373" customFormat="false" ht="15" hidden="false" customHeight="true" outlineLevel="0" collapsed="false">
      <c r="B373" s="4"/>
      <c r="M373" s="4"/>
    </row>
    <row r="374" customFormat="false" ht="15" hidden="false" customHeight="true" outlineLevel="0" collapsed="false">
      <c r="B374" s="4"/>
      <c r="M374" s="4"/>
    </row>
    <row r="375" customFormat="false" ht="15" hidden="false" customHeight="true" outlineLevel="0" collapsed="false">
      <c r="B375" s="4"/>
      <c r="M375" s="4"/>
    </row>
    <row r="376" customFormat="false" ht="15" hidden="false" customHeight="true" outlineLevel="0" collapsed="false">
      <c r="B376" s="4"/>
      <c r="M376" s="4"/>
    </row>
    <row r="377" customFormat="false" ht="15" hidden="false" customHeight="true" outlineLevel="0" collapsed="false">
      <c r="B377" s="4"/>
      <c r="M377" s="4"/>
    </row>
    <row r="378" customFormat="false" ht="15" hidden="false" customHeight="true" outlineLevel="0" collapsed="false">
      <c r="B378" s="4"/>
      <c r="M378" s="4"/>
    </row>
    <row r="379" customFormat="false" ht="15" hidden="false" customHeight="true" outlineLevel="0" collapsed="false">
      <c r="B379" s="4"/>
      <c r="M379" s="4"/>
    </row>
    <row r="380" customFormat="false" ht="15" hidden="false" customHeight="true" outlineLevel="0" collapsed="false">
      <c r="B380" s="4"/>
      <c r="M380" s="4"/>
    </row>
    <row r="381" customFormat="false" ht="15" hidden="false" customHeight="true" outlineLevel="0" collapsed="false">
      <c r="B381" s="4"/>
      <c r="M381" s="4"/>
    </row>
    <row r="382" customFormat="false" ht="15" hidden="false" customHeight="true" outlineLevel="0" collapsed="false">
      <c r="B382" s="4"/>
      <c r="M382" s="4"/>
    </row>
    <row r="383" customFormat="false" ht="15" hidden="false" customHeight="true" outlineLevel="0" collapsed="false">
      <c r="B383" s="4"/>
      <c r="M383" s="4"/>
    </row>
    <row r="384" customFormat="false" ht="15" hidden="false" customHeight="true" outlineLevel="0" collapsed="false">
      <c r="B384" s="4"/>
      <c r="M384" s="4"/>
    </row>
    <row r="385" customFormat="false" ht="15" hidden="false" customHeight="true" outlineLevel="0" collapsed="false">
      <c r="B385" s="4"/>
      <c r="M385" s="4"/>
    </row>
    <row r="386" customFormat="false" ht="15" hidden="false" customHeight="true" outlineLevel="0" collapsed="false">
      <c r="B386" s="4"/>
      <c r="M386" s="4"/>
    </row>
    <row r="387" customFormat="false" ht="15" hidden="false" customHeight="true" outlineLevel="0" collapsed="false">
      <c r="B387" s="4"/>
      <c r="M387" s="4"/>
    </row>
    <row r="388" customFormat="false" ht="15" hidden="false" customHeight="true" outlineLevel="0" collapsed="false">
      <c r="B388" s="4"/>
      <c r="M388" s="4"/>
    </row>
    <row r="389" customFormat="false" ht="15" hidden="false" customHeight="true" outlineLevel="0" collapsed="false">
      <c r="B389" s="4"/>
      <c r="M389" s="4"/>
    </row>
    <row r="390" customFormat="false" ht="15" hidden="false" customHeight="true" outlineLevel="0" collapsed="false">
      <c r="B390" s="4"/>
      <c r="M390" s="4"/>
    </row>
    <row r="391" customFormat="false" ht="15" hidden="false" customHeight="true" outlineLevel="0" collapsed="false">
      <c r="B391" s="4"/>
      <c r="M391" s="4"/>
    </row>
    <row r="392" customFormat="false" ht="15" hidden="false" customHeight="true" outlineLevel="0" collapsed="false">
      <c r="B392" s="4"/>
      <c r="M392" s="4"/>
    </row>
    <row r="393" customFormat="false" ht="15" hidden="false" customHeight="true" outlineLevel="0" collapsed="false">
      <c r="B393" s="4"/>
      <c r="M393" s="4"/>
    </row>
    <row r="394" customFormat="false" ht="15" hidden="false" customHeight="true" outlineLevel="0" collapsed="false">
      <c r="B394" s="4"/>
      <c r="M394" s="4"/>
    </row>
    <row r="395" customFormat="false" ht="15" hidden="false" customHeight="true" outlineLevel="0" collapsed="false">
      <c r="B395" s="4"/>
      <c r="M395" s="4"/>
    </row>
    <row r="396" customFormat="false" ht="15" hidden="false" customHeight="true" outlineLevel="0" collapsed="false">
      <c r="B396" s="4"/>
      <c r="M396" s="4"/>
    </row>
    <row r="397" customFormat="false" ht="15" hidden="false" customHeight="true" outlineLevel="0" collapsed="false">
      <c r="B397" s="4"/>
      <c r="M397" s="4"/>
    </row>
    <row r="398" customFormat="false" ht="15" hidden="false" customHeight="true" outlineLevel="0" collapsed="false">
      <c r="B398" s="4"/>
      <c r="M398" s="4"/>
    </row>
    <row r="399" customFormat="false" ht="15" hidden="false" customHeight="true" outlineLevel="0" collapsed="false">
      <c r="B399" s="4"/>
      <c r="M399" s="4"/>
    </row>
    <row r="400" customFormat="false" ht="15" hidden="false" customHeight="true" outlineLevel="0" collapsed="false">
      <c r="B400" s="4"/>
      <c r="M400" s="4"/>
    </row>
    <row r="401" customFormat="false" ht="15" hidden="false" customHeight="true" outlineLevel="0" collapsed="false">
      <c r="B401" s="4"/>
      <c r="M401" s="4"/>
    </row>
    <row r="402" customFormat="false" ht="15" hidden="false" customHeight="true" outlineLevel="0" collapsed="false">
      <c r="B402" s="4"/>
      <c r="M402" s="4"/>
    </row>
    <row r="403" customFormat="false" ht="15" hidden="false" customHeight="true" outlineLevel="0" collapsed="false">
      <c r="B403" s="4"/>
      <c r="M403" s="4"/>
    </row>
    <row r="404" customFormat="false" ht="15" hidden="false" customHeight="true" outlineLevel="0" collapsed="false">
      <c r="B404" s="4"/>
      <c r="M404" s="4"/>
    </row>
    <row r="405" customFormat="false" ht="15" hidden="false" customHeight="true" outlineLevel="0" collapsed="false">
      <c r="B405" s="4"/>
      <c r="M405" s="4"/>
    </row>
    <row r="406" customFormat="false" ht="15" hidden="false" customHeight="true" outlineLevel="0" collapsed="false">
      <c r="B406" s="4"/>
      <c r="M406" s="4"/>
    </row>
    <row r="407" customFormat="false" ht="15" hidden="false" customHeight="true" outlineLevel="0" collapsed="false">
      <c r="B407" s="4"/>
      <c r="M407" s="4"/>
    </row>
    <row r="408" customFormat="false" ht="15" hidden="false" customHeight="true" outlineLevel="0" collapsed="false">
      <c r="B408" s="4"/>
      <c r="M408" s="4"/>
    </row>
    <row r="409" customFormat="false" ht="15" hidden="false" customHeight="true" outlineLevel="0" collapsed="false">
      <c r="B409" s="4"/>
      <c r="M409" s="4"/>
    </row>
    <row r="410" customFormat="false" ht="15" hidden="false" customHeight="true" outlineLevel="0" collapsed="false">
      <c r="B410" s="4"/>
      <c r="M410" s="4"/>
    </row>
    <row r="411" customFormat="false" ht="15" hidden="false" customHeight="true" outlineLevel="0" collapsed="false">
      <c r="B411" s="4"/>
      <c r="M411" s="4"/>
    </row>
    <row r="412" customFormat="false" ht="15" hidden="false" customHeight="true" outlineLevel="0" collapsed="false">
      <c r="B412" s="4"/>
      <c r="M412" s="4"/>
    </row>
    <row r="413" customFormat="false" ht="15" hidden="false" customHeight="true" outlineLevel="0" collapsed="false">
      <c r="B413" s="4"/>
      <c r="M413" s="4"/>
    </row>
    <row r="414" customFormat="false" ht="15" hidden="false" customHeight="true" outlineLevel="0" collapsed="false">
      <c r="B414" s="4"/>
      <c r="M414" s="4"/>
    </row>
    <row r="415" customFormat="false" ht="15" hidden="false" customHeight="true" outlineLevel="0" collapsed="false">
      <c r="B415" s="4"/>
      <c r="M415" s="4"/>
    </row>
    <row r="416" customFormat="false" ht="15" hidden="false" customHeight="true" outlineLevel="0" collapsed="false">
      <c r="B416" s="4"/>
      <c r="M416" s="4"/>
    </row>
    <row r="417" customFormat="false" ht="15" hidden="false" customHeight="true" outlineLevel="0" collapsed="false">
      <c r="B417" s="4"/>
      <c r="M417" s="4"/>
    </row>
    <row r="418" customFormat="false" ht="15" hidden="false" customHeight="true" outlineLevel="0" collapsed="false">
      <c r="B418" s="4"/>
      <c r="M418" s="4"/>
    </row>
    <row r="419" customFormat="false" ht="15" hidden="false" customHeight="true" outlineLevel="0" collapsed="false">
      <c r="B419" s="4"/>
      <c r="M419" s="4"/>
    </row>
    <row r="420" customFormat="false" ht="15" hidden="false" customHeight="true" outlineLevel="0" collapsed="false">
      <c r="B420" s="4"/>
      <c r="M420" s="4"/>
    </row>
    <row r="421" customFormat="false" ht="15" hidden="false" customHeight="true" outlineLevel="0" collapsed="false">
      <c r="B421" s="4"/>
      <c r="M421" s="4"/>
    </row>
    <row r="422" customFormat="false" ht="15" hidden="false" customHeight="true" outlineLevel="0" collapsed="false">
      <c r="B422" s="4"/>
      <c r="M422" s="4"/>
    </row>
    <row r="423" customFormat="false" ht="15" hidden="false" customHeight="true" outlineLevel="0" collapsed="false">
      <c r="B423" s="4"/>
      <c r="M423" s="4"/>
    </row>
    <row r="424" customFormat="false" ht="15" hidden="false" customHeight="true" outlineLevel="0" collapsed="false">
      <c r="B424" s="4"/>
      <c r="M424" s="4"/>
    </row>
    <row r="425" customFormat="false" ht="15" hidden="false" customHeight="true" outlineLevel="0" collapsed="false">
      <c r="B425" s="4"/>
      <c r="M425" s="4"/>
    </row>
    <row r="426" customFormat="false" ht="15" hidden="false" customHeight="true" outlineLevel="0" collapsed="false">
      <c r="B426" s="4"/>
      <c r="M426" s="4"/>
    </row>
    <row r="427" customFormat="false" ht="15" hidden="false" customHeight="true" outlineLevel="0" collapsed="false">
      <c r="B427" s="4"/>
      <c r="M427" s="4"/>
    </row>
    <row r="428" customFormat="false" ht="15" hidden="false" customHeight="true" outlineLevel="0" collapsed="false">
      <c r="B428" s="4"/>
      <c r="M428" s="4"/>
    </row>
    <row r="429" customFormat="false" ht="15" hidden="false" customHeight="true" outlineLevel="0" collapsed="false">
      <c r="B429" s="4"/>
      <c r="M429" s="4"/>
    </row>
    <row r="430" customFormat="false" ht="15" hidden="false" customHeight="true" outlineLevel="0" collapsed="false">
      <c r="B430" s="4"/>
      <c r="M430" s="4"/>
    </row>
    <row r="431" customFormat="false" ht="15" hidden="false" customHeight="true" outlineLevel="0" collapsed="false">
      <c r="B431" s="4"/>
      <c r="M431" s="4"/>
    </row>
    <row r="432" customFormat="false" ht="15" hidden="false" customHeight="true" outlineLevel="0" collapsed="false">
      <c r="B432" s="4"/>
      <c r="M432" s="4"/>
    </row>
    <row r="433" customFormat="false" ht="15" hidden="false" customHeight="true" outlineLevel="0" collapsed="false">
      <c r="B433" s="4"/>
      <c r="M433" s="4"/>
    </row>
    <row r="434" customFormat="false" ht="15" hidden="false" customHeight="true" outlineLevel="0" collapsed="false">
      <c r="B434" s="4"/>
      <c r="M434" s="4"/>
    </row>
    <row r="435" customFormat="false" ht="15" hidden="false" customHeight="true" outlineLevel="0" collapsed="false">
      <c r="B435" s="4"/>
      <c r="M435" s="4"/>
    </row>
    <row r="436" customFormat="false" ht="15" hidden="false" customHeight="true" outlineLevel="0" collapsed="false">
      <c r="B436" s="4"/>
      <c r="M436" s="4"/>
    </row>
    <row r="437" customFormat="false" ht="15" hidden="false" customHeight="true" outlineLevel="0" collapsed="false">
      <c r="B437" s="4"/>
      <c r="M437" s="4"/>
    </row>
    <row r="438" customFormat="false" ht="15" hidden="false" customHeight="true" outlineLevel="0" collapsed="false">
      <c r="B438" s="4"/>
      <c r="M438" s="4"/>
    </row>
    <row r="439" customFormat="false" ht="15" hidden="false" customHeight="true" outlineLevel="0" collapsed="false">
      <c r="B439" s="4"/>
      <c r="M439" s="4"/>
    </row>
    <row r="440" customFormat="false" ht="15" hidden="false" customHeight="true" outlineLevel="0" collapsed="false">
      <c r="B440" s="4"/>
      <c r="M440" s="4"/>
    </row>
    <row r="441" customFormat="false" ht="15" hidden="false" customHeight="true" outlineLevel="0" collapsed="false">
      <c r="B441" s="4"/>
      <c r="M441" s="4"/>
    </row>
    <row r="442" customFormat="false" ht="15" hidden="false" customHeight="true" outlineLevel="0" collapsed="false">
      <c r="B442" s="4"/>
      <c r="M442" s="4"/>
    </row>
    <row r="443" customFormat="false" ht="15" hidden="false" customHeight="true" outlineLevel="0" collapsed="false">
      <c r="B443" s="4"/>
      <c r="M443" s="4"/>
    </row>
    <row r="444" customFormat="false" ht="15" hidden="false" customHeight="true" outlineLevel="0" collapsed="false">
      <c r="B444" s="4"/>
      <c r="M444" s="4"/>
    </row>
    <row r="445" customFormat="false" ht="15" hidden="false" customHeight="true" outlineLevel="0" collapsed="false">
      <c r="B445" s="4"/>
      <c r="M445" s="4"/>
    </row>
    <row r="446" customFormat="false" ht="15" hidden="false" customHeight="true" outlineLevel="0" collapsed="false">
      <c r="B446" s="4"/>
      <c r="M446" s="4"/>
    </row>
    <row r="447" customFormat="false" ht="15" hidden="false" customHeight="true" outlineLevel="0" collapsed="false">
      <c r="B447" s="4"/>
      <c r="M447" s="4"/>
    </row>
    <row r="448" customFormat="false" ht="15" hidden="false" customHeight="true" outlineLevel="0" collapsed="false">
      <c r="B448" s="4"/>
      <c r="M448" s="4"/>
    </row>
    <row r="449" customFormat="false" ht="15" hidden="false" customHeight="true" outlineLevel="0" collapsed="false">
      <c r="B449" s="4"/>
      <c r="M449" s="4"/>
    </row>
    <row r="450" customFormat="false" ht="15" hidden="false" customHeight="true" outlineLevel="0" collapsed="false">
      <c r="B450" s="4"/>
      <c r="M450" s="4"/>
    </row>
    <row r="451" customFormat="false" ht="15" hidden="false" customHeight="true" outlineLevel="0" collapsed="false">
      <c r="B451" s="4"/>
      <c r="M451" s="4"/>
    </row>
    <row r="452" customFormat="false" ht="15" hidden="false" customHeight="true" outlineLevel="0" collapsed="false">
      <c r="B452" s="4"/>
      <c r="M452" s="4"/>
    </row>
    <row r="453" customFormat="false" ht="15" hidden="false" customHeight="true" outlineLevel="0" collapsed="false">
      <c r="B453" s="4"/>
      <c r="M453" s="4"/>
    </row>
    <row r="454" customFormat="false" ht="15" hidden="false" customHeight="true" outlineLevel="0" collapsed="false">
      <c r="B454" s="4"/>
      <c r="M454" s="4"/>
    </row>
    <row r="455" customFormat="false" ht="15" hidden="false" customHeight="true" outlineLevel="0" collapsed="false">
      <c r="B455" s="4"/>
      <c r="M455" s="4"/>
    </row>
    <row r="456" customFormat="false" ht="15" hidden="false" customHeight="true" outlineLevel="0" collapsed="false">
      <c r="B456" s="4"/>
      <c r="M456" s="4"/>
    </row>
    <row r="457" customFormat="false" ht="15" hidden="false" customHeight="true" outlineLevel="0" collapsed="false">
      <c r="B457" s="4"/>
      <c r="M457" s="4"/>
    </row>
    <row r="458" customFormat="false" ht="15" hidden="false" customHeight="true" outlineLevel="0" collapsed="false">
      <c r="B458" s="4"/>
      <c r="M458" s="4"/>
    </row>
    <row r="459" customFormat="false" ht="15" hidden="false" customHeight="true" outlineLevel="0" collapsed="false">
      <c r="B459" s="4"/>
      <c r="M459" s="4"/>
    </row>
    <row r="460" customFormat="false" ht="15" hidden="false" customHeight="true" outlineLevel="0" collapsed="false">
      <c r="B460" s="4"/>
      <c r="M460" s="4"/>
    </row>
    <row r="461" customFormat="false" ht="15" hidden="false" customHeight="true" outlineLevel="0" collapsed="false">
      <c r="B461" s="4"/>
      <c r="M461" s="4"/>
    </row>
    <row r="462" customFormat="false" ht="15" hidden="false" customHeight="true" outlineLevel="0" collapsed="false">
      <c r="B462" s="4"/>
      <c r="M462" s="4"/>
    </row>
    <row r="463" customFormat="false" ht="15" hidden="false" customHeight="true" outlineLevel="0" collapsed="false">
      <c r="B463" s="4"/>
      <c r="M463" s="4"/>
    </row>
    <row r="464" customFormat="false" ht="15" hidden="false" customHeight="true" outlineLevel="0" collapsed="false">
      <c r="B464" s="4"/>
      <c r="M464" s="4"/>
    </row>
    <row r="465" customFormat="false" ht="15" hidden="false" customHeight="true" outlineLevel="0" collapsed="false">
      <c r="B465" s="4"/>
      <c r="M465" s="4"/>
    </row>
    <row r="466" customFormat="false" ht="15" hidden="false" customHeight="true" outlineLevel="0" collapsed="false">
      <c r="B466" s="4"/>
      <c r="M466" s="4"/>
    </row>
    <row r="467" customFormat="false" ht="15" hidden="false" customHeight="true" outlineLevel="0" collapsed="false">
      <c r="B467" s="4"/>
      <c r="M467" s="4"/>
    </row>
    <row r="468" customFormat="false" ht="15" hidden="false" customHeight="true" outlineLevel="0" collapsed="false">
      <c r="B468" s="4"/>
      <c r="M468" s="4"/>
    </row>
    <row r="469" customFormat="false" ht="15" hidden="false" customHeight="true" outlineLevel="0" collapsed="false">
      <c r="B469" s="4"/>
      <c r="M469" s="4"/>
    </row>
    <row r="470" customFormat="false" ht="15" hidden="false" customHeight="true" outlineLevel="0" collapsed="false">
      <c r="B470" s="4"/>
      <c r="M470" s="4"/>
    </row>
    <row r="471" customFormat="false" ht="15" hidden="false" customHeight="true" outlineLevel="0" collapsed="false">
      <c r="B471" s="4"/>
      <c r="M471" s="4"/>
    </row>
    <row r="472" customFormat="false" ht="15" hidden="false" customHeight="true" outlineLevel="0" collapsed="false">
      <c r="B472" s="4"/>
      <c r="M472" s="4"/>
    </row>
    <row r="473" customFormat="false" ht="15" hidden="false" customHeight="true" outlineLevel="0" collapsed="false">
      <c r="B473" s="4"/>
      <c r="M473" s="4"/>
    </row>
    <row r="474" customFormat="false" ht="15" hidden="false" customHeight="true" outlineLevel="0" collapsed="false">
      <c r="B474" s="4"/>
      <c r="M474" s="4"/>
    </row>
    <row r="475" customFormat="false" ht="15" hidden="false" customHeight="true" outlineLevel="0" collapsed="false">
      <c r="B475" s="4"/>
      <c r="M475" s="4"/>
    </row>
    <row r="476" customFormat="false" ht="15" hidden="false" customHeight="true" outlineLevel="0" collapsed="false">
      <c r="B476" s="4"/>
      <c r="M476" s="4"/>
    </row>
    <row r="477" customFormat="false" ht="15" hidden="false" customHeight="true" outlineLevel="0" collapsed="false">
      <c r="B477" s="4"/>
      <c r="M477" s="4"/>
    </row>
    <row r="478" customFormat="false" ht="15" hidden="false" customHeight="true" outlineLevel="0" collapsed="false">
      <c r="B478" s="4"/>
      <c r="M478" s="4"/>
    </row>
    <row r="479" customFormat="false" ht="15" hidden="false" customHeight="true" outlineLevel="0" collapsed="false">
      <c r="B479" s="4"/>
      <c r="M479" s="4"/>
    </row>
    <row r="480" customFormat="false" ht="15" hidden="false" customHeight="true" outlineLevel="0" collapsed="false">
      <c r="B480" s="4"/>
      <c r="M480" s="4"/>
    </row>
    <row r="481" customFormat="false" ht="15" hidden="false" customHeight="true" outlineLevel="0" collapsed="false">
      <c r="B481" s="4"/>
      <c r="M481" s="4"/>
    </row>
    <row r="482" customFormat="false" ht="15" hidden="false" customHeight="true" outlineLevel="0" collapsed="false">
      <c r="B482" s="4"/>
      <c r="M482" s="4"/>
    </row>
    <row r="483" customFormat="false" ht="15" hidden="false" customHeight="true" outlineLevel="0" collapsed="false">
      <c r="B483" s="4"/>
      <c r="M483" s="4"/>
    </row>
    <row r="484" customFormat="false" ht="15" hidden="false" customHeight="true" outlineLevel="0" collapsed="false">
      <c r="B484" s="4"/>
      <c r="M484" s="4"/>
    </row>
    <row r="485" customFormat="false" ht="15" hidden="false" customHeight="true" outlineLevel="0" collapsed="false">
      <c r="B485" s="4"/>
      <c r="M485" s="4"/>
    </row>
    <row r="486" customFormat="false" ht="15" hidden="false" customHeight="true" outlineLevel="0" collapsed="false">
      <c r="B486" s="4"/>
      <c r="M486" s="4"/>
    </row>
    <row r="487" customFormat="false" ht="15" hidden="false" customHeight="true" outlineLevel="0" collapsed="false">
      <c r="B487" s="4"/>
      <c r="M487" s="4"/>
    </row>
    <row r="488" customFormat="false" ht="15" hidden="false" customHeight="true" outlineLevel="0" collapsed="false">
      <c r="B488" s="4"/>
      <c r="M488" s="4"/>
    </row>
    <row r="489" customFormat="false" ht="15" hidden="false" customHeight="true" outlineLevel="0" collapsed="false">
      <c r="B489" s="4"/>
      <c r="M489" s="4"/>
    </row>
    <row r="490" customFormat="false" ht="15" hidden="false" customHeight="true" outlineLevel="0" collapsed="false">
      <c r="B490" s="4"/>
      <c r="M490" s="4"/>
    </row>
    <row r="491" customFormat="false" ht="15" hidden="false" customHeight="true" outlineLevel="0" collapsed="false">
      <c r="B491" s="4"/>
      <c r="M491" s="4"/>
    </row>
    <row r="492" customFormat="false" ht="15" hidden="false" customHeight="true" outlineLevel="0" collapsed="false">
      <c r="B492" s="4"/>
      <c r="M492" s="4"/>
    </row>
    <row r="493" customFormat="false" ht="15" hidden="false" customHeight="true" outlineLevel="0" collapsed="false">
      <c r="B493" s="4"/>
      <c r="M493" s="4"/>
    </row>
    <row r="494" customFormat="false" ht="15" hidden="false" customHeight="true" outlineLevel="0" collapsed="false">
      <c r="B494" s="4"/>
      <c r="M494" s="4"/>
    </row>
    <row r="495" customFormat="false" ht="15" hidden="false" customHeight="true" outlineLevel="0" collapsed="false">
      <c r="B495" s="4"/>
      <c r="M495" s="4"/>
    </row>
    <row r="496" customFormat="false" ht="15" hidden="false" customHeight="true" outlineLevel="0" collapsed="false">
      <c r="B496" s="4"/>
      <c r="M496" s="4"/>
    </row>
    <row r="497" customFormat="false" ht="15" hidden="false" customHeight="true" outlineLevel="0" collapsed="false">
      <c r="B497" s="4"/>
      <c r="M497" s="4"/>
    </row>
    <row r="498" customFormat="false" ht="15" hidden="false" customHeight="true" outlineLevel="0" collapsed="false">
      <c r="B498" s="4"/>
      <c r="M498" s="4"/>
    </row>
    <row r="499" customFormat="false" ht="15" hidden="false" customHeight="true" outlineLevel="0" collapsed="false">
      <c r="B499" s="4"/>
      <c r="M499" s="4"/>
    </row>
    <row r="500" customFormat="false" ht="15" hidden="false" customHeight="true" outlineLevel="0" collapsed="false">
      <c r="B500" s="4"/>
      <c r="M500" s="4"/>
    </row>
    <row r="501" customFormat="false" ht="15" hidden="false" customHeight="true" outlineLevel="0" collapsed="false">
      <c r="B501" s="4"/>
      <c r="M501" s="4"/>
    </row>
    <row r="502" customFormat="false" ht="15" hidden="false" customHeight="true" outlineLevel="0" collapsed="false">
      <c r="B502" s="4"/>
      <c r="M502" s="4"/>
    </row>
    <row r="503" customFormat="false" ht="15" hidden="false" customHeight="true" outlineLevel="0" collapsed="false">
      <c r="B503" s="4"/>
      <c r="M503" s="4"/>
    </row>
    <row r="504" customFormat="false" ht="15" hidden="false" customHeight="true" outlineLevel="0" collapsed="false">
      <c r="B504" s="4"/>
      <c r="M504" s="4"/>
    </row>
    <row r="505" customFormat="false" ht="15" hidden="false" customHeight="true" outlineLevel="0" collapsed="false">
      <c r="B505" s="4"/>
      <c r="M505" s="4"/>
    </row>
    <row r="506" customFormat="false" ht="15" hidden="false" customHeight="true" outlineLevel="0" collapsed="false">
      <c r="B506" s="4"/>
      <c r="M506" s="4"/>
    </row>
    <row r="507" customFormat="false" ht="15" hidden="false" customHeight="true" outlineLevel="0" collapsed="false">
      <c r="B507" s="4"/>
      <c r="M507" s="4"/>
    </row>
    <row r="508" customFormat="false" ht="15" hidden="false" customHeight="true" outlineLevel="0" collapsed="false">
      <c r="B508" s="4"/>
      <c r="M508" s="4"/>
    </row>
    <row r="509" customFormat="false" ht="15" hidden="false" customHeight="true" outlineLevel="0" collapsed="false">
      <c r="B509" s="4"/>
      <c r="M509" s="4"/>
    </row>
    <row r="510" customFormat="false" ht="15" hidden="false" customHeight="true" outlineLevel="0" collapsed="false">
      <c r="B510" s="4"/>
      <c r="M510" s="4"/>
    </row>
    <row r="511" customFormat="false" ht="15" hidden="false" customHeight="true" outlineLevel="0" collapsed="false">
      <c r="B511" s="4"/>
      <c r="M511" s="4"/>
    </row>
    <row r="512" customFormat="false" ht="15" hidden="false" customHeight="true" outlineLevel="0" collapsed="false">
      <c r="B512" s="4"/>
      <c r="M512" s="4"/>
    </row>
    <row r="513" customFormat="false" ht="15" hidden="false" customHeight="true" outlineLevel="0" collapsed="false">
      <c r="B513" s="4"/>
      <c r="M513" s="4"/>
    </row>
    <row r="514" customFormat="false" ht="15" hidden="false" customHeight="true" outlineLevel="0" collapsed="false">
      <c r="B514" s="4"/>
      <c r="M514" s="4"/>
    </row>
    <row r="515" customFormat="false" ht="15" hidden="false" customHeight="true" outlineLevel="0" collapsed="false">
      <c r="B515" s="4"/>
      <c r="M515" s="4"/>
    </row>
    <row r="516" customFormat="false" ht="15" hidden="false" customHeight="true" outlineLevel="0" collapsed="false">
      <c r="B516" s="4"/>
      <c r="M516" s="4"/>
    </row>
    <row r="517" customFormat="false" ht="15" hidden="false" customHeight="true" outlineLevel="0" collapsed="false">
      <c r="B517" s="4"/>
      <c r="M517" s="4"/>
    </row>
    <row r="518" customFormat="false" ht="15" hidden="false" customHeight="true" outlineLevel="0" collapsed="false">
      <c r="B518" s="4"/>
      <c r="M518" s="4"/>
    </row>
    <row r="519" customFormat="false" ht="15" hidden="false" customHeight="true" outlineLevel="0" collapsed="false">
      <c r="B519" s="4"/>
      <c r="M519" s="4"/>
    </row>
    <row r="520" customFormat="false" ht="15" hidden="false" customHeight="true" outlineLevel="0" collapsed="false">
      <c r="B520" s="4"/>
      <c r="M520" s="4"/>
    </row>
    <row r="521" customFormat="false" ht="15" hidden="false" customHeight="true" outlineLevel="0" collapsed="false">
      <c r="B521" s="4"/>
      <c r="M521" s="4"/>
    </row>
    <row r="522" customFormat="false" ht="15" hidden="false" customHeight="true" outlineLevel="0" collapsed="false">
      <c r="B522" s="4"/>
      <c r="M522" s="4"/>
    </row>
    <row r="523" customFormat="false" ht="15" hidden="false" customHeight="true" outlineLevel="0" collapsed="false">
      <c r="B523" s="4"/>
      <c r="M523" s="4"/>
    </row>
    <row r="524" customFormat="false" ht="15" hidden="false" customHeight="true" outlineLevel="0" collapsed="false">
      <c r="B524" s="4"/>
      <c r="M524" s="4"/>
    </row>
    <row r="525" customFormat="false" ht="15" hidden="false" customHeight="true" outlineLevel="0" collapsed="false">
      <c r="B525" s="4"/>
      <c r="M525" s="4"/>
    </row>
    <row r="526" customFormat="false" ht="15" hidden="false" customHeight="true" outlineLevel="0" collapsed="false">
      <c r="B526" s="4"/>
      <c r="M526" s="4"/>
    </row>
    <row r="527" customFormat="false" ht="15" hidden="false" customHeight="true" outlineLevel="0" collapsed="false">
      <c r="B527" s="4"/>
      <c r="M527" s="4"/>
    </row>
    <row r="528" customFormat="false" ht="15" hidden="false" customHeight="true" outlineLevel="0" collapsed="false">
      <c r="B528" s="4"/>
      <c r="M528" s="4"/>
    </row>
    <row r="529" customFormat="false" ht="15" hidden="false" customHeight="true" outlineLevel="0" collapsed="false">
      <c r="B529" s="4"/>
      <c r="M529" s="4"/>
    </row>
    <row r="530" customFormat="false" ht="15" hidden="false" customHeight="true" outlineLevel="0" collapsed="false">
      <c r="B530" s="4"/>
      <c r="M530" s="4"/>
    </row>
    <row r="531" customFormat="false" ht="15" hidden="false" customHeight="true" outlineLevel="0" collapsed="false">
      <c r="B531" s="4"/>
      <c r="M531" s="4"/>
    </row>
    <row r="532" customFormat="false" ht="15" hidden="false" customHeight="true" outlineLevel="0" collapsed="false">
      <c r="B532" s="4"/>
      <c r="M532" s="4"/>
    </row>
    <row r="533" customFormat="false" ht="15" hidden="false" customHeight="true" outlineLevel="0" collapsed="false">
      <c r="B533" s="4"/>
      <c r="M533" s="4"/>
    </row>
    <row r="534" customFormat="false" ht="15" hidden="false" customHeight="true" outlineLevel="0" collapsed="false">
      <c r="B534" s="4"/>
      <c r="M534" s="4"/>
    </row>
    <row r="535" customFormat="false" ht="15" hidden="false" customHeight="true" outlineLevel="0" collapsed="false">
      <c r="B535" s="4"/>
      <c r="M535" s="4"/>
    </row>
    <row r="536" customFormat="false" ht="15" hidden="false" customHeight="true" outlineLevel="0" collapsed="false">
      <c r="B536" s="4"/>
      <c r="M536" s="4"/>
    </row>
    <row r="537" customFormat="false" ht="15" hidden="false" customHeight="true" outlineLevel="0" collapsed="false">
      <c r="B537" s="4"/>
      <c r="M537" s="4"/>
    </row>
    <row r="538" customFormat="false" ht="15" hidden="false" customHeight="true" outlineLevel="0" collapsed="false">
      <c r="B538" s="4"/>
      <c r="M538" s="4"/>
    </row>
    <row r="539" customFormat="false" ht="15" hidden="false" customHeight="true" outlineLevel="0" collapsed="false">
      <c r="B539" s="4"/>
      <c r="M539" s="4"/>
    </row>
    <row r="540" customFormat="false" ht="15" hidden="false" customHeight="true" outlineLevel="0" collapsed="false">
      <c r="B540" s="4"/>
      <c r="M540" s="4"/>
    </row>
    <row r="541" customFormat="false" ht="15" hidden="false" customHeight="true" outlineLevel="0" collapsed="false">
      <c r="B541" s="4"/>
      <c r="M541" s="4"/>
    </row>
    <row r="542" customFormat="false" ht="15" hidden="false" customHeight="true" outlineLevel="0" collapsed="false">
      <c r="B542" s="4"/>
      <c r="M542" s="4"/>
    </row>
    <row r="543" customFormat="false" ht="15" hidden="false" customHeight="true" outlineLevel="0" collapsed="false">
      <c r="B543" s="4"/>
      <c r="M543" s="4"/>
    </row>
    <row r="544" customFormat="false" ht="15" hidden="false" customHeight="true" outlineLevel="0" collapsed="false">
      <c r="B544" s="4"/>
      <c r="M544" s="4"/>
    </row>
    <row r="545" customFormat="false" ht="15" hidden="false" customHeight="true" outlineLevel="0" collapsed="false">
      <c r="B545" s="4"/>
      <c r="M545" s="4"/>
    </row>
    <row r="546" customFormat="false" ht="15" hidden="false" customHeight="true" outlineLevel="0" collapsed="false">
      <c r="B546" s="4"/>
      <c r="M546" s="4"/>
    </row>
    <row r="547" customFormat="false" ht="15" hidden="false" customHeight="true" outlineLevel="0" collapsed="false">
      <c r="B547" s="4"/>
      <c r="M547" s="4"/>
    </row>
    <row r="548" customFormat="false" ht="15" hidden="false" customHeight="true" outlineLevel="0" collapsed="false">
      <c r="B548" s="4"/>
      <c r="M548" s="4"/>
    </row>
    <row r="549" customFormat="false" ht="15" hidden="false" customHeight="true" outlineLevel="0" collapsed="false">
      <c r="B549" s="4"/>
      <c r="M549" s="4"/>
    </row>
    <row r="550" customFormat="false" ht="15" hidden="false" customHeight="true" outlineLevel="0" collapsed="false">
      <c r="B550" s="4"/>
      <c r="M550" s="4"/>
    </row>
    <row r="551" customFormat="false" ht="15" hidden="false" customHeight="true" outlineLevel="0" collapsed="false">
      <c r="B551" s="4"/>
      <c r="M551" s="4"/>
    </row>
    <row r="552" customFormat="false" ht="15" hidden="false" customHeight="true" outlineLevel="0" collapsed="false">
      <c r="B552" s="4"/>
      <c r="M552" s="4"/>
    </row>
    <row r="553" customFormat="false" ht="15" hidden="false" customHeight="true" outlineLevel="0" collapsed="false">
      <c r="B553" s="4"/>
      <c r="M553" s="4"/>
    </row>
    <row r="554" customFormat="false" ht="15" hidden="false" customHeight="true" outlineLevel="0" collapsed="false">
      <c r="B554" s="4"/>
      <c r="M554" s="4"/>
    </row>
    <row r="555" customFormat="false" ht="15" hidden="false" customHeight="true" outlineLevel="0" collapsed="false">
      <c r="B555" s="4"/>
      <c r="M555" s="4"/>
    </row>
    <row r="556" customFormat="false" ht="15" hidden="false" customHeight="true" outlineLevel="0" collapsed="false">
      <c r="B556" s="4"/>
      <c r="M556" s="4"/>
    </row>
    <row r="557" customFormat="false" ht="15" hidden="false" customHeight="true" outlineLevel="0" collapsed="false">
      <c r="B557" s="4"/>
      <c r="M557" s="4"/>
    </row>
    <row r="558" customFormat="false" ht="15" hidden="false" customHeight="true" outlineLevel="0" collapsed="false">
      <c r="B558" s="4"/>
      <c r="M558" s="4"/>
    </row>
    <row r="559" customFormat="false" ht="15" hidden="false" customHeight="true" outlineLevel="0" collapsed="false">
      <c r="B559" s="4"/>
      <c r="M559" s="4"/>
    </row>
    <row r="560" customFormat="false" ht="15" hidden="false" customHeight="true" outlineLevel="0" collapsed="false">
      <c r="B560" s="4"/>
      <c r="M560" s="4"/>
    </row>
    <row r="561" customFormat="false" ht="15" hidden="false" customHeight="true" outlineLevel="0" collapsed="false">
      <c r="B561" s="4"/>
      <c r="M561" s="4"/>
    </row>
    <row r="562" customFormat="false" ht="15" hidden="false" customHeight="true" outlineLevel="0" collapsed="false">
      <c r="B562" s="4"/>
      <c r="M562" s="4"/>
    </row>
    <row r="563" customFormat="false" ht="15" hidden="false" customHeight="true" outlineLevel="0" collapsed="false">
      <c r="B563" s="4"/>
      <c r="M563" s="4"/>
    </row>
    <row r="564" customFormat="false" ht="15" hidden="false" customHeight="true" outlineLevel="0" collapsed="false">
      <c r="B564" s="4"/>
      <c r="M564" s="4"/>
    </row>
    <row r="565" customFormat="false" ht="15" hidden="false" customHeight="true" outlineLevel="0" collapsed="false">
      <c r="B565" s="4"/>
      <c r="M565" s="4"/>
    </row>
    <row r="566" customFormat="false" ht="15" hidden="false" customHeight="true" outlineLevel="0" collapsed="false">
      <c r="B566" s="4"/>
      <c r="M566" s="4"/>
    </row>
    <row r="567" customFormat="false" ht="15" hidden="false" customHeight="true" outlineLevel="0" collapsed="false">
      <c r="B567" s="4"/>
      <c r="M567" s="4"/>
    </row>
    <row r="568" customFormat="false" ht="15" hidden="false" customHeight="true" outlineLevel="0" collapsed="false">
      <c r="B568" s="4"/>
      <c r="M568" s="4"/>
    </row>
    <row r="569" customFormat="false" ht="15" hidden="false" customHeight="true" outlineLevel="0" collapsed="false">
      <c r="B569" s="4"/>
      <c r="M569" s="4"/>
    </row>
    <row r="570" customFormat="false" ht="15" hidden="false" customHeight="true" outlineLevel="0" collapsed="false">
      <c r="B570" s="4"/>
      <c r="M570" s="4"/>
    </row>
    <row r="571" customFormat="false" ht="15" hidden="false" customHeight="true" outlineLevel="0" collapsed="false">
      <c r="B571" s="4"/>
      <c r="M571" s="4"/>
    </row>
    <row r="572" customFormat="false" ht="15" hidden="false" customHeight="true" outlineLevel="0" collapsed="false">
      <c r="B572" s="4"/>
      <c r="M572" s="4"/>
    </row>
    <row r="573" customFormat="false" ht="15" hidden="false" customHeight="true" outlineLevel="0" collapsed="false">
      <c r="B573" s="4"/>
      <c r="M573" s="4"/>
    </row>
    <row r="574" customFormat="false" ht="15" hidden="false" customHeight="true" outlineLevel="0" collapsed="false">
      <c r="B574" s="4"/>
      <c r="M574" s="4"/>
    </row>
    <row r="575" customFormat="false" ht="15" hidden="false" customHeight="true" outlineLevel="0" collapsed="false">
      <c r="B575" s="4"/>
      <c r="M575" s="4"/>
    </row>
    <row r="576" customFormat="false" ht="15" hidden="false" customHeight="true" outlineLevel="0" collapsed="false">
      <c r="B576" s="4"/>
      <c r="M576" s="4"/>
    </row>
    <row r="577" customFormat="false" ht="15" hidden="false" customHeight="true" outlineLevel="0" collapsed="false">
      <c r="B577" s="4"/>
      <c r="M577" s="4"/>
    </row>
    <row r="578" customFormat="false" ht="15" hidden="false" customHeight="true" outlineLevel="0" collapsed="false">
      <c r="B578" s="4"/>
      <c r="M578" s="4"/>
    </row>
    <row r="579" customFormat="false" ht="15" hidden="false" customHeight="true" outlineLevel="0" collapsed="false">
      <c r="B579" s="4"/>
      <c r="M579" s="4"/>
    </row>
    <row r="580" customFormat="false" ht="15" hidden="false" customHeight="true" outlineLevel="0" collapsed="false">
      <c r="B580" s="4"/>
      <c r="M580" s="4"/>
    </row>
    <row r="581" customFormat="false" ht="15" hidden="false" customHeight="true" outlineLevel="0" collapsed="false">
      <c r="B581" s="4"/>
      <c r="M581" s="4"/>
    </row>
    <row r="582" customFormat="false" ht="15" hidden="false" customHeight="true" outlineLevel="0" collapsed="false">
      <c r="B582" s="4"/>
      <c r="M582" s="4"/>
    </row>
    <row r="583" customFormat="false" ht="15" hidden="false" customHeight="true" outlineLevel="0" collapsed="false">
      <c r="B583" s="4"/>
      <c r="M583" s="4"/>
    </row>
    <row r="584" customFormat="false" ht="15" hidden="false" customHeight="true" outlineLevel="0" collapsed="false">
      <c r="B584" s="4"/>
      <c r="M584" s="4"/>
    </row>
    <row r="585" customFormat="false" ht="15" hidden="false" customHeight="true" outlineLevel="0" collapsed="false">
      <c r="B585" s="4"/>
      <c r="M585" s="4"/>
    </row>
    <row r="586" customFormat="false" ht="15" hidden="false" customHeight="true" outlineLevel="0" collapsed="false">
      <c r="B586" s="4"/>
      <c r="M586" s="4"/>
    </row>
    <row r="587" customFormat="false" ht="15" hidden="false" customHeight="true" outlineLevel="0" collapsed="false">
      <c r="B587" s="4"/>
      <c r="M587" s="4"/>
    </row>
    <row r="588" customFormat="false" ht="15" hidden="false" customHeight="true" outlineLevel="0" collapsed="false">
      <c r="B588" s="4"/>
      <c r="M588" s="4"/>
    </row>
    <row r="589" customFormat="false" ht="15" hidden="false" customHeight="true" outlineLevel="0" collapsed="false">
      <c r="B589" s="4"/>
      <c r="M589" s="4"/>
    </row>
    <row r="590" customFormat="false" ht="15" hidden="false" customHeight="true" outlineLevel="0" collapsed="false">
      <c r="B590" s="4"/>
      <c r="M590" s="4"/>
    </row>
    <row r="591" customFormat="false" ht="15" hidden="false" customHeight="true" outlineLevel="0" collapsed="false">
      <c r="B591" s="4"/>
      <c r="M591" s="4"/>
    </row>
    <row r="592" customFormat="false" ht="15" hidden="false" customHeight="true" outlineLevel="0" collapsed="false">
      <c r="B592" s="4"/>
      <c r="M592" s="4"/>
    </row>
    <row r="593" customFormat="false" ht="15" hidden="false" customHeight="true" outlineLevel="0" collapsed="false">
      <c r="B593" s="4"/>
      <c r="M593" s="4"/>
    </row>
    <row r="594" customFormat="false" ht="15" hidden="false" customHeight="true" outlineLevel="0" collapsed="false">
      <c r="B594" s="4"/>
      <c r="M594" s="4"/>
    </row>
    <row r="595" customFormat="false" ht="15" hidden="false" customHeight="true" outlineLevel="0" collapsed="false">
      <c r="B595" s="4"/>
      <c r="M595" s="4"/>
    </row>
    <row r="596" customFormat="false" ht="15" hidden="false" customHeight="true" outlineLevel="0" collapsed="false">
      <c r="B596" s="4"/>
      <c r="M596" s="4"/>
    </row>
    <row r="597" customFormat="false" ht="15" hidden="false" customHeight="true" outlineLevel="0" collapsed="false">
      <c r="B597" s="4"/>
      <c r="M597" s="4"/>
    </row>
    <row r="598" customFormat="false" ht="15" hidden="false" customHeight="true" outlineLevel="0" collapsed="false">
      <c r="B598" s="4"/>
      <c r="M598" s="4"/>
    </row>
    <row r="599" customFormat="false" ht="15" hidden="false" customHeight="true" outlineLevel="0" collapsed="false">
      <c r="B599" s="4"/>
      <c r="M599" s="4"/>
    </row>
    <row r="600" customFormat="false" ht="15" hidden="false" customHeight="true" outlineLevel="0" collapsed="false">
      <c r="B600" s="4"/>
      <c r="M600" s="4"/>
    </row>
    <row r="601" customFormat="false" ht="15" hidden="false" customHeight="true" outlineLevel="0" collapsed="false">
      <c r="B601" s="4"/>
      <c r="M601" s="4"/>
    </row>
    <row r="602" customFormat="false" ht="15" hidden="false" customHeight="true" outlineLevel="0" collapsed="false">
      <c r="B602" s="4"/>
      <c r="M602" s="4"/>
    </row>
    <row r="603" customFormat="false" ht="15" hidden="false" customHeight="true" outlineLevel="0" collapsed="false">
      <c r="B603" s="4"/>
      <c r="M603" s="4"/>
    </row>
    <row r="604" customFormat="false" ht="15" hidden="false" customHeight="true" outlineLevel="0" collapsed="false">
      <c r="B604" s="4"/>
      <c r="M604" s="4"/>
    </row>
    <row r="605" customFormat="false" ht="15" hidden="false" customHeight="true" outlineLevel="0" collapsed="false">
      <c r="B605" s="4"/>
      <c r="M605" s="4"/>
    </row>
    <row r="606" customFormat="false" ht="15" hidden="false" customHeight="true" outlineLevel="0" collapsed="false">
      <c r="B606" s="4"/>
      <c r="M606" s="4"/>
    </row>
    <row r="607" customFormat="false" ht="15" hidden="false" customHeight="true" outlineLevel="0" collapsed="false">
      <c r="B607" s="4"/>
      <c r="M607" s="4"/>
    </row>
    <row r="608" customFormat="false" ht="15" hidden="false" customHeight="true" outlineLevel="0" collapsed="false">
      <c r="B608" s="4"/>
      <c r="M608" s="4"/>
    </row>
    <row r="609" customFormat="false" ht="15" hidden="false" customHeight="true" outlineLevel="0" collapsed="false">
      <c r="B609" s="4"/>
      <c r="M609" s="4"/>
    </row>
    <row r="610" customFormat="false" ht="15" hidden="false" customHeight="true" outlineLevel="0" collapsed="false">
      <c r="B610" s="4"/>
      <c r="M610" s="4"/>
    </row>
    <row r="611" customFormat="false" ht="15" hidden="false" customHeight="true" outlineLevel="0" collapsed="false">
      <c r="B611" s="4"/>
      <c r="M611" s="4"/>
    </row>
    <row r="612" customFormat="false" ht="15" hidden="false" customHeight="true" outlineLevel="0" collapsed="false">
      <c r="B612" s="4"/>
      <c r="M612" s="4"/>
    </row>
    <row r="613" customFormat="false" ht="15" hidden="false" customHeight="true" outlineLevel="0" collapsed="false">
      <c r="B613" s="4"/>
      <c r="M613" s="4"/>
    </row>
    <row r="614" customFormat="false" ht="15" hidden="false" customHeight="true" outlineLevel="0" collapsed="false">
      <c r="B614" s="4"/>
      <c r="M614" s="4"/>
    </row>
    <row r="615" customFormat="false" ht="15" hidden="false" customHeight="true" outlineLevel="0" collapsed="false">
      <c r="B615" s="4"/>
      <c r="M615" s="4"/>
    </row>
    <row r="616" customFormat="false" ht="15" hidden="false" customHeight="true" outlineLevel="0" collapsed="false">
      <c r="B616" s="4"/>
      <c r="M616" s="4"/>
    </row>
    <row r="617" customFormat="false" ht="15" hidden="false" customHeight="true" outlineLevel="0" collapsed="false">
      <c r="B617" s="4"/>
      <c r="M617" s="4"/>
    </row>
    <row r="618" customFormat="false" ht="15" hidden="false" customHeight="true" outlineLevel="0" collapsed="false">
      <c r="B618" s="4"/>
      <c r="M618" s="4"/>
    </row>
    <row r="619" customFormat="false" ht="15" hidden="false" customHeight="true" outlineLevel="0" collapsed="false">
      <c r="B619" s="4"/>
      <c r="M619" s="4"/>
    </row>
    <row r="620" customFormat="false" ht="15" hidden="false" customHeight="true" outlineLevel="0" collapsed="false">
      <c r="B620" s="4"/>
      <c r="M620" s="4"/>
    </row>
    <row r="621" customFormat="false" ht="15" hidden="false" customHeight="true" outlineLevel="0" collapsed="false">
      <c r="B621" s="4"/>
      <c r="M621" s="4"/>
    </row>
    <row r="622" customFormat="false" ht="15" hidden="false" customHeight="true" outlineLevel="0" collapsed="false">
      <c r="B622" s="4"/>
      <c r="M622" s="4"/>
    </row>
    <row r="623" customFormat="false" ht="15" hidden="false" customHeight="true" outlineLevel="0" collapsed="false">
      <c r="B623" s="4"/>
      <c r="M623" s="4"/>
    </row>
    <row r="624" customFormat="false" ht="15" hidden="false" customHeight="true" outlineLevel="0" collapsed="false">
      <c r="B624" s="4"/>
      <c r="M624" s="4"/>
    </row>
    <row r="625" customFormat="false" ht="15" hidden="false" customHeight="true" outlineLevel="0" collapsed="false">
      <c r="B625" s="4"/>
      <c r="M625" s="4"/>
    </row>
    <row r="626" customFormat="false" ht="15" hidden="false" customHeight="true" outlineLevel="0" collapsed="false">
      <c r="B626" s="4"/>
      <c r="M626" s="4"/>
    </row>
    <row r="627" customFormat="false" ht="15" hidden="false" customHeight="true" outlineLevel="0" collapsed="false">
      <c r="B627" s="4"/>
      <c r="M627" s="4"/>
    </row>
    <row r="628" customFormat="false" ht="15" hidden="false" customHeight="true" outlineLevel="0" collapsed="false">
      <c r="B628" s="4"/>
      <c r="M628" s="4"/>
    </row>
    <row r="629" customFormat="false" ht="15" hidden="false" customHeight="true" outlineLevel="0" collapsed="false">
      <c r="B629" s="4"/>
      <c r="M629" s="4"/>
    </row>
    <row r="630" customFormat="false" ht="15" hidden="false" customHeight="true" outlineLevel="0" collapsed="false">
      <c r="B630" s="4"/>
      <c r="M630" s="4"/>
    </row>
    <row r="631" customFormat="false" ht="15" hidden="false" customHeight="true" outlineLevel="0" collapsed="false">
      <c r="B631" s="4"/>
      <c r="M631" s="4"/>
    </row>
    <row r="632" customFormat="false" ht="15" hidden="false" customHeight="true" outlineLevel="0" collapsed="false">
      <c r="B632" s="4"/>
      <c r="M632" s="4"/>
    </row>
    <row r="633" customFormat="false" ht="15" hidden="false" customHeight="true" outlineLevel="0" collapsed="false">
      <c r="B633" s="4"/>
      <c r="M633" s="4"/>
    </row>
    <row r="634" customFormat="false" ht="15" hidden="false" customHeight="true" outlineLevel="0" collapsed="false">
      <c r="B634" s="4"/>
      <c r="M634" s="4"/>
    </row>
    <row r="635" customFormat="false" ht="15" hidden="false" customHeight="true" outlineLevel="0" collapsed="false">
      <c r="B635" s="4"/>
      <c r="M635" s="4"/>
    </row>
    <row r="636" customFormat="false" ht="15" hidden="false" customHeight="true" outlineLevel="0" collapsed="false">
      <c r="B636" s="4"/>
      <c r="M636" s="4"/>
    </row>
    <row r="637" customFormat="false" ht="15" hidden="false" customHeight="true" outlineLevel="0" collapsed="false">
      <c r="B637" s="4"/>
      <c r="M637" s="4"/>
    </row>
    <row r="638" customFormat="false" ht="15" hidden="false" customHeight="true" outlineLevel="0" collapsed="false">
      <c r="B638" s="4"/>
      <c r="M638" s="4"/>
    </row>
    <row r="639" customFormat="false" ht="15" hidden="false" customHeight="true" outlineLevel="0" collapsed="false">
      <c r="B639" s="4"/>
      <c r="M639" s="4"/>
    </row>
    <row r="640" customFormat="false" ht="15" hidden="false" customHeight="true" outlineLevel="0" collapsed="false">
      <c r="B640" s="4"/>
      <c r="M640" s="4"/>
    </row>
    <row r="641" customFormat="false" ht="15" hidden="false" customHeight="true" outlineLevel="0" collapsed="false">
      <c r="B641" s="4"/>
      <c r="M641" s="4"/>
    </row>
    <row r="642" customFormat="false" ht="15" hidden="false" customHeight="true" outlineLevel="0" collapsed="false">
      <c r="B642" s="4"/>
      <c r="M642" s="4"/>
    </row>
    <row r="643" customFormat="false" ht="15" hidden="false" customHeight="true" outlineLevel="0" collapsed="false">
      <c r="B643" s="4"/>
      <c r="M643" s="4"/>
    </row>
    <row r="644" customFormat="false" ht="15" hidden="false" customHeight="true" outlineLevel="0" collapsed="false">
      <c r="B644" s="4"/>
      <c r="M644" s="4"/>
    </row>
    <row r="645" customFormat="false" ht="15" hidden="false" customHeight="true" outlineLevel="0" collapsed="false">
      <c r="B645" s="4"/>
      <c r="M645" s="4"/>
    </row>
    <row r="646" customFormat="false" ht="15" hidden="false" customHeight="true" outlineLevel="0" collapsed="false">
      <c r="B646" s="4"/>
      <c r="M646" s="4"/>
    </row>
    <row r="647" customFormat="false" ht="15" hidden="false" customHeight="true" outlineLevel="0" collapsed="false">
      <c r="B647" s="4"/>
      <c r="M647" s="4"/>
    </row>
    <row r="648" customFormat="false" ht="15" hidden="false" customHeight="true" outlineLevel="0" collapsed="false">
      <c r="B648" s="4"/>
      <c r="M648" s="4"/>
    </row>
    <row r="649" customFormat="false" ht="15" hidden="false" customHeight="true" outlineLevel="0" collapsed="false">
      <c r="B649" s="4"/>
      <c r="M649" s="4"/>
    </row>
    <row r="650" customFormat="false" ht="15" hidden="false" customHeight="true" outlineLevel="0" collapsed="false">
      <c r="B650" s="4"/>
      <c r="M650" s="4"/>
    </row>
    <row r="651" customFormat="false" ht="15" hidden="false" customHeight="true" outlineLevel="0" collapsed="false">
      <c r="B651" s="4"/>
      <c r="M651" s="4"/>
    </row>
    <row r="652" customFormat="false" ht="15" hidden="false" customHeight="true" outlineLevel="0" collapsed="false">
      <c r="B652" s="4"/>
      <c r="M652" s="4"/>
    </row>
    <row r="653" customFormat="false" ht="15" hidden="false" customHeight="true" outlineLevel="0" collapsed="false">
      <c r="B653" s="4"/>
      <c r="M653" s="4"/>
    </row>
    <row r="654" customFormat="false" ht="15" hidden="false" customHeight="true" outlineLevel="0" collapsed="false">
      <c r="B654" s="4"/>
      <c r="M654" s="4"/>
    </row>
    <row r="655" customFormat="false" ht="15" hidden="false" customHeight="true" outlineLevel="0" collapsed="false">
      <c r="B655" s="4"/>
      <c r="M655" s="4"/>
    </row>
    <row r="656" customFormat="false" ht="15" hidden="false" customHeight="true" outlineLevel="0" collapsed="false">
      <c r="B656" s="4"/>
      <c r="M656" s="4"/>
    </row>
    <row r="657" customFormat="false" ht="15" hidden="false" customHeight="true" outlineLevel="0" collapsed="false">
      <c r="B657" s="4"/>
      <c r="M657" s="4"/>
    </row>
    <row r="658" customFormat="false" ht="15" hidden="false" customHeight="true" outlineLevel="0" collapsed="false">
      <c r="B658" s="4"/>
      <c r="M658" s="4"/>
    </row>
    <row r="659" customFormat="false" ht="15" hidden="false" customHeight="true" outlineLevel="0" collapsed="false">
      <c r="B659" s="4"/>
      <c r="M659" s="4"/>
    </row>
    <row r="660" customFormat="false" ht="15" hidden="false" customHeight="true" outlineLevel="0" collapsed="false">
      <c r="B660" s="4"/>
      <c r="M660" s="4"/>
    </row>
    <row r="661" customFormat="false" ht="15" hidden="false" customHeight="true" outlineLevel="0" collapsed="false">
      <c r="B661" s="4"/>
      <c r="M661" s="4"/>
    </row>
    <row r="662" customFormat="false" ht="15" hidden="false" customHeight="true" outlineLevel="0" collapsed="false">
      <c r="B662" s="4"/>
      <c r="M662" s="4"/>
    </row>
    <row r="663" customFormat="false" ht="15" hidden="false" customHeight="true" outlineLevel="0" collapsed="false">
      <c r="B663" s="4"/>
      <c r="M663" s="4"/>
    </row>
    <row r="664" customFormat="false" ht="15" hidden="false" customHeight="true" outlineLevel="0" collapsed="false">
      <c r="B664" s="4"/>
      <c r="M664" s="4"/>
    </row>
    <row r="665" customFormat="false" ht="15" hidden="false" customHeight="true" outlineLevel="0" collapsed="false">
      <c r="B665" s="4"/>
      <c r="M665" s="4"/>
    </row>
    <row r="666" customFormat="false" ht="15" hidden="false" customHeight="true" outlineLevel="0" collapsed="false">
      <c r="B666" s="4"/>
      <c r="M666" s="4"/>
    </row>
    <row r="667" customFormat="false" ht="15" hidden="false" customHeight="true" outlineLevel="0" collapsed="false">
      <c r="B667" s="4"/>
      <c r="M667" s="4"/>
    </row>
    <row r="668" customFormat="false" ht="15" hidden="false" customHeight="true" outlineLevel="0" collapsed="false">
      <c r="B668" s="4"/>
      <c r="M668" s="4"/>
    </row>
    <row r="669" customFormat="false" ht="15" hidden="false" customHeight="true" outlineLevel="0" collapsed="false">
      <c r="B669" s="4"/>
      <c r="M669" s="4"/>
    </row>
    <row r="670" customFormat="false" ht="15" hidden="false" customHeight="true" outlineLevel="0" collapsed="false">
      <c r="B670" s="4"/>
      <c r="M670" s="4"/>
    </row>
    <row r="671" customFormat="false" ht="15" hidden="false" customHeight="true" outlineLevel="0" collapsed="false">
      <c r="B671" s="4"/>
      <c r="M671" s="4"/>
    </row>
    <row r="672" customFormat="false" ht="15" hidden="false" customHeight="true" outlineLevel="0" collapsed="false">
      <c r="B672" s="4"/>
      <c r="M672" s="4"/>
    </row>
    <row r="673" customFormat="false" ht="15" hidden="false" customHeight="true" outlineLevel="0" collapsed="false">
      <c r="B673" s="4"/>
      <c r="M673" s="4"/>
    </row>
    <row r="674" customFormat="false" ht="15" hidden="false" customHeight="true" outlineLevel="0" collapsed="false">
      <c r="B674" s="4"/>
      <c r="M674" s="4"/>
    </row>
    <row r="675" customFormat="false" ht="15" hidden="false" customHeight="true" outlineLevel="0" collapsed="false">
      <c r="B675" s="4"/>
      <c r="M675" s="4"/>
    </row>
    <row r="676" customFormat="false" ht="15" hidden="false" customHeight="true" outlineLevel="0" collapsed="false">
      <c r="B676" s="4"/>
      <c r="M676" s="4"/>
    </row>
    <row r="677" customFormat="false" ht="15" hidden="false" customHeight="true" outlineLevel="0" collapsed="false">
      <c r="B677" s="4"/>
      <c r="M677" s="4"/>
    </row>
    <row r="678" customFormat="false" ht="15" hidden="false" customHeight="true" outlineLevel="0" collapsed="false">
      <c r="B678" s="4"/>
      <c r="M678" s="4"/>
    </row>
    <row r="679" customFormat="false" ht="15" hidden="false" customHeight="true" outlineLevel="0" collapsed="false">
      <c r="B679" s="4"/>
      <c r="M679" s="4"/>
    </row>
    <row r="680" customFormat="false" ht="15" hidden="false" customHeight="true" outlineLevel="0" collapsed="false">
      <c r="B680" s="4"/>
      <c r="M680" s="4"/>
    </row>
    <row r="681" customFormat="false" ht="15" hidden="false" customHeight="true" outlineLevel="0" collapsed="false">
      <c r="B681" s="4"/>
      <c r="M681" s="4"/>
    </row>
    <row r="682" customFormat="false" ht="15" hidden="false" customHeight="true" outlineLevel="0" collapsed="false">
      <c r="B682" s="4"/>
      <c r="M682" s="4"/>
    </row>
    <row r="683" customFormat="false" ht="15" hidden="false" customHeight="true" outlineLevel="0" collapsed="false">
      <c r="B683" s="4"/>
      <c r="M683" s="4"/>
    </row>
    <row r="684" customFormat="false" ht="15" hidden="false" customHeight="true" outlineLevel="0" collapsed="false">
      <c r="B684" s="4"/>
      <c r="M684" s="4"/>
    </row>
    <row r="685" customFormat="false" ht="15" hidden="false" customHeight="true" outlineLevel="0" collapsed="false">
      <c r="B685" s="4"/>
      <c r="M685" s="4"/>
    </row>
    <row r="686" customFormat="false" ht="15" hidden="false" customHeight="true" outlineLevel="0" collapsed="false">
      <c r="B686" s="4"/>
      <c r="M686" s="4"/>
    </row>
    <row r="687" customFormat="false" ht="15" hidden="false" customHeight="true" outlineLevel="0" collapsed="false">
      <c r="B687" s="4"/>
      <c r="M687" s="4"/>
    </row>
    <row r="688" customFormat="false" ht="15" hidden="false" customHeight="true" outlineLevel="0" collapsed="false">
      <c r="B688" s="4"/>
      <c r="M688" s="4"/>
    </row>
    <row r="689" customFormat="false" ht="15" hidden="false" customHeight="true" outlineLevel="0" collapsed="false">
      <c r="B689" s="4"/>
      <c r="M689" s="4"/>
    </row>
    <row r="690" customFormat="false" ht="15" hidden="false" customHeight="true" outlineLevel="0" collapsed="false">
      <c r="B690" s="4"/>
      <c r="M690" s="4"/>
    </row>
    <row r="691" customFormat="false" ht="15" hidden="false" customHeight="true" outlineLevel="0" collapsed="false">
      <c r="B691" s="4"/>
      <c r="M691" s="4"/>
    </row>
    <row r="692" customFormat="false" ht="15" hidden="false" customHeight="true" outlineLevel="0" collapsed="false">
      <c r="B692" s="4"/>
      <c r="M692" s="4"/>
    </row>
    <row r="693" customFormat="false" ht="15" hidden="false" customHeight="true" outlineLevel="0" collapsed="false">
      <c r="B693" s="4"/>
      <c r="M693" s="4"/>
    </row>
    <row r="694" customFormat="false" ht="15" hidden="false" customHeight="true" outlineLevel="0" collapsed="false">
      <c r="B694" s="4"/>
      <c r="M694" s="4"/>
    </row>
    <row r="695" customFormat="false" ht="15" hidden="false" customHeight="true" outlineLevel="0" collapsed="false">
      <c r="B695" s="4"/>
      <c r="M695" s="4"/>
    </row>
    <row r="696" customFormat="false" ht="15" hidden="false" customHeight="true" outlineLevel="0" collapsed="false">
      <c r="B696" s="4"/>
      <c r="M696" s="4"/>
    </row>
    <row r="697" customFormat="false" ht="15" hidden="false" customHeight="true" outlineLevel="0" collapsed="false">
      <c r="B697" s="4"/>
      <c r="M697" s="4"/>
    </row>
    <row r="698" customFormat="false" ht="15" hidden="false" customHeight="true" outlineLevel="0" collapsed="false">
      <c r="B698" s="4"/>
      <c r="M698" s="4"/>
    </row>
    <row r="699" customFormat="false" ht="15" hidden="false" customHeight="true" outlineLevel="0" collapsed="false">
      <c r="B699" s="4"/>
      <c r="M699" s="4"/>
    </row>
    <row r="700" customFormat="false" ht="15" hidden="false" customHeight="true" outlineLevel="0" collapsed="false">
      <c r="B700" s="4"/>
      <c r="M700" s="4"/>
    </row>
    <row r="701" customFormat="false" ht="15" hidden="false" customHeight="true" outlineLevel="0" collapsed="false">
      <c r="B701" s="4"/>
      <c r="M701" s="4"/>
    </row>
    <row r="702" customFormat="false" ht="15" hidden="false" customHeight="true" outlineLevel="0" collapsed="false">
      <c r="B702" s="4"/>
      <c r="M702" s="4"/>
    </row>
    <row r="703" customFormat="false" ht="15" hidden="false" customHeight="true" outlineLevel="0" collapsed="false">
      <c r="B703" s="4"/>
      <c r="M703" s="4"/>
    </row>
    <row r="704" customFormat="false" ht="15" hidden="false" customHeight="true" outlineLevel="0" collapsed="false">
      <c r="B704" s="4"/>
      <c r="M704" s="4"/>
    </row>
    <row r="705" customFormat="false" ht="15" hidden="false" customHeight="true" outlineLevel="0" collapsed="false">
      <c r="B705" s="4"/>
      <c r="M705" s="4"/>
    </row>
    <row r="706" customFormat="false" ht="15" hidden="false" customHeight="true" outlineLevel="0" collapsed="false">
      <c r="B706" s="4"/>
      <c r="M706" s="4"/>
    </row>
    <row r="707" customFormat="false" ht="15" hidden="false" customHeight="true" outlineLevel="0" collapsed="false">
      <c r="B707" s="4"/>
      <c r="M707" s="4"/>
    </row>
    <row r="708" customFormat="false" ht="15" hidden="false" customHeight="true" outlineLevel="0" collapsed="false">
      <c r="B708" s="4"/>
      <c r="M708" s="4"/>
    </row>
    <row r="709" customFormat="false" ht="15" hidden="false" customHeight="true" outlineLevel="0" collapsed="false">
      <c r="B709" s="4"/>
      <c r="M709" s="4"/>
    </row>
    <row r="710" customFormat="false" ht="15" hidden="false" customHeight="true" outlineLevel="0" collapsed="false">
      <c r="B710" s="4"/>
      <c r="M710" s="4"/>
    </row>
    <row r="711" customFormat="false" ht="15" hidden="false" customHeight="true" outlineLevel="0" collapsed="false">
      <c r="B711" s="4"/>
      <c r="M711" s="4"/>
    </row>
    <row r="712" customFormat="false" ht="15" hidden="false" customHeight="true" outlineLevel="0" collapsed="false">
      <c r="B712" s="4"/>
      <c r="M712" s="4"/>
    </row>
    <row r="713" customFormat="false" ht="15" hidden="false" customHeight="true" outlineLevel="0" collapsed="false">
      <c r="B713" s="4"/>
      <c r="M713" s="4"/>
    </row>
    <row r="714" customFormat="false" ht="15" hidden="false" customHeight="true" outlineLevel="0" collapsed="false">
      <c r="B714" s="4"/>
      <c r="M714" s="4"/>
    </row>
    <row r="715" customFormat="false" ht="15" hidden="false" customHeight="true" outlineLevel="0" collapsed="false">
      <c r="B715" s="4"/>
      <c r="M715" s="4"/>
    </row>
    <row r="716" customFormat="false" ht="15" hidden="false" customHeight="true" outlineLevel="0" collapsed="false">
      <c r="B716" s="4"/>
      <c r="M716" s="4"/>
    </row>
    <row r="717" customFormat="false" ht="15" hidden="false" customHeight="true" outlineLevel="0" collapsed="false">
      <c r="B717" s="4"/>
      <c r="M717" s="4"/>
    </row>
    <row r="718" customFormat="false" ht="15" hidden="false" customHeight="true" outlineLevel="0" collapsed="false">
      <c r="B718" s="4"/>
      <c r="M718" s="4"/>
    </row>
    <row r="719" customFormat="false" ht="15" hidden="false" customHeight="true" outlineLevel="0" collapsed="false">
      <c r="B719" s="4"/>
      <c r="M719" s="4"/>
    </row>
    <row r="720" customFormat="false" ht="15" hidden="false" customHeight="true" outlineLevel="0" collapsed="false">
      <c r="B720" s="4"/>
      <c r="M720" s="4"/>
    </row>
    <row r="721" customFormat="false" ht="15" hidden="false" customHeight="true" outlineLevel="0" collapsed="false">
      <c r="B721" s="4"/>
      <c r="M721" s="4"/>
    </row>
    <row r="722" customFormat="false" ht="15" hidden="false" customHeight="true" outlineLevel="0" collapsed="false">
      <c r="B722" s="4"/>
      <c r="M722" s="4"/>
    </row>
    <row r="723" customFormat="false" ht="15" hidden="false" customHeight="true" outlineLevel="0" collapsed="false">
      <c r="B723" s="4"/>
      <c r="M723" s="4"/>
    </row>
    <row r="724" customFormat="false" ht="15" hidden="false" customHeight="true" outlineLevel="0" collapsed="false">
      <c r="B724" s="4"/>
      <c r="M724" s="4"/>
    </row>
    <row r="725" customFormat="false" ht="15" hidden="false" customHeight="true" outlineLevel="0" collapsed="false">
      <c r="B725" s="4"/>
      <c r="M725" s="4"/>
    </row>
    <row r="726" customFormat="false" ht="15" hidden="false" customHeight="true" outlineLevel="0" collapsed="false">
      <c r="B726" s="4"/>
      <c r="M726" s="4"/>
    </row>
    <row r="727" customFormat="false" ht="15" hidden="false" customHeight="true" outlineLevel="0" collapsed="false">
      <c r="B727" s="4"/>
      <c r="M727" s="4"/>
    </row>
    <row r="728" customFormat="false" ht="15" hidden="false" customHeight="true" outlineLevel="0" collapsed="false">
      <c r="B728" s="4"/>
      <c r="M728" s="4"/>
    </row>
    <row r="729" customFormat="false" ht="15" hidden="false" customHeight="true" outlineLevel="0" collapsed="false">
      <c r="B729" s="4"/>
      <c r="M729" s="4"/>
    </row>
    <row r="730" customFormat="false" ht="15" hidden="false" customHeight="true" outlineLevel="0" collapsed="false">
      <c r="B730" s="4"/>
      <c r="M730" s="4"/>
    </row>
    <row r="731" customFormat="false" ht="15" hidden="false" customHeight="true" outlineLevel="0" collapsed="false">
      <c r="B731" s="4"/>
      <c r="M731" s="4"/>
    </row>
    <row r="732" customFormat="false" ht="15" hidden="false" customHeight="true" outlineLevel="0" collapsed="false">
      <c r="B732" s="4"/>
      <c r="M732" s="4"/>
    </row>
    <row r="733" customFormat="false" ht="15" hidden="false" customHeight="true" outlineLevel="0" collapsed="false">
      <c r="B733" s="4"/>
      <c r="M733" s="4"/>
    </row>
    <row r="734" customFormat="false" ht="15" hidden="false" customHeight="true" outlineLevel="0" collapsed="false">
      <c r="B734" s="4"/>
      <c r="M734" s="4"/>
    </row>
    <row r="735" customFormat="false" ht="15" hidden="false" customHeight="true" outlineLevel="0" collapsed="false">
      <c r="B735" s="4"/>
      <c r="M735" s="4"/>
    </row>
    <row r="736" customFormat="false" ht="15" hidden="false" customHeight="true" outlineLevel="0" collapsed="false">
      <c r="B736" s="4"/>
      <c r="M736" s="4"/>
    </row>
    <row r="737" customFormat="false" ht="15" hidden="false" customHeight="true" outlineLevel="0" collapsed="false">
      <c r="B737" s="4"/>
      <c r="M737" s="4"/>
    </row>
    <row r="738" customFormat="false" ht="15" hidden="false" customHeight="true" outlineLevel="0" collapsed="false">
      <c r="B738" s="4"/>
      <c r="M738" s="4"/>
    </row>
    <row r="739" customFormat="false" ht="15" hidden="false" customHeight="true" outlineLevel="0" collapsed="false">
      <c r="B739" s="4"/>
      <c r="M739" s="4"/>
    </row>
    <row r="740" customFormat="false" ht="15" hidden="false" customHeight="true" outlineLevel="0" collapsed="false">
      <c r="B740" s="4"/>
      <c r="M740" s="4"/>
    </row>
    <row r="741" customFormat="false" ht="15" hidden="false" customHeight="true" outlineLevel="0" collapsed="false">
      <c r="B741" s="4"/>
      <c r="M741" s="4"/>
    </row>
    <row r="742" customFormat="false" ht="15" hidden="false" customHeight="true" outlineLevel="0" collapsed="false">
      <c r="B742" s="4"/>
      <c r="M742" s="4"/>
    </row>
    <row r="743" customFormat="false" ht="15" hidden="false" customHeight="true" outlineLevel="0" collapsed="false">
      <c r="B743" s="4"/>
      <c r="M743" s="4"/>
    </row>
    <row r="744" customFormat="false" ht="15" hidden="false" customHeight="true" outlineLevel="0" collapsed="false">
      <c r="B744" s="4"/>
      <c r="M744" s="4"/>
    </row>
    <row r="745" customFormat="false" ht="15" hidden="false" customHeight="true" outlineLevel="0" collapsed="false">
      <c r="B745" s="4"/>
      <c r="M745" s="4"/>
    </row>
    <row r="746" customFormat="false" ht="15" hidden="false" customHeight="true" outlineLevel="0" collapsed="false">
      <c r="B746" s="4"/>
      <c r="M746" s="4"/>
    </row>
    <row r="747" customFormat="false" ht="15" hidden="false" customHeight="true" outlineLevel="0" collapsed="false">
      <c r="B747" s="4"/>
      <c r="M747" s="4"/>
    </row>
    <row r="748" customFormat="false" ht="15" hidden="false" customHeight="true" outlineLevel="0" collapsed="false">
      <c r="B748" s="4"/>
      <c r="M748" s="4"/>
    </row>
    <row r="749" customFormat="false" ht="15" hidden="false" customHeight="true" outlineLevel="0" collapsed="false">
      <c r="B749" s="4"/>
      <c r="M749" s="4"/>
    </row>
    <row r="750" customFormat="false" ht="15" hidden="false" customHeight="true" outlineLevel="0" collapsed="false">
      <c r="B750" s="4"/>
      <c r="M750" s="4"/>
    </row>
    <row r="751" customFormat="false" ht="15" hidden="false" customHeight="true" outlineLevel="0" collapsed="false">
      <c r="B751" s="4"/>
      <c r="M751" s="4"/>
    </row>
    <row r="752" customFormat="false" ht="15" hidden="false" customHeight="true" outlineLevel="0" collapsed="false">
      <c r="B752" s="4"/>
      <c r="M752" s="4"/>
    </row>
    <row r="753" customFormat="false" ht="15" hidden="false" customHeight="true" outlineLevel="0" collapsed="false">
      <c r="B753" s="4"/>
      <c r="M753" s="4"/>
    </row>
    <row r="754" customFormat="false" ht="15" hidden="false" customHeight="true" outlineLevel="0" collapsed="false">
      <c r="B754" s="4"/>
      <c r="M754" s="4"/>
    </row>
    <row r="755" customFormat="false" ht="15" hidden="false" customHeight="true" outlineLevel="0" collapsed="false">
      <c r="B755" s="4"/>
      <c r="M755" s="4"/>
    </row>
    <row r="756" customFormat="false" ht="15" hidden="false" customHeight="true" outlineLevel="0" collapsed="false">
      <c r="B756" s="4"/>
      <c r="M756" s="4"/>
    </row>
    <row r="757" customFormat="false" ht="15" hidden="false" customHeight="true" outlineLevel="0" collapsed="false">
      <c r="B757" s="4"/>
      <c r="M757" s="4"/>
    </row>
    <row r="758" customFormat="false" ht="15" hidden="false" customHeight="true" outlineLevel="0" collapsed="false">
      <c r="B758" s="4"/>
      <c r="M758" s="4"/>
    </row>
    <row r="759" customFormat="false" ht="15" hidden="false" customHeight="true" outlineLevel="0" collapsed="false">
      <c r="B759" s="4"/>
      <c r="M759" s="4"/>
    </row>
    <row r="760" customFormat="false" ht="15" hidden="false" customHeight="true" outlineLevel="0" collapsed="false">
      <c r="B760" s="4"/>
      <c r="M760" s="4"/>
    </row>
    <row r="761" customFormat="false" ht="15" hidden="false" customHeight="true" outlineLevel="0" collapsed="false">
      <c r="B761" s="4"/>
      <c r="M761" s="4"/>
    </row>
    <row r="762" customFormat="false" ht="15" hidden="false" customHeight="true" outlineLevel="0" collapsed="false">
      <c r="B762" s="4"/>
      <c r="M762" s="4"/>
    </row>
    <row r="763" customFormat="false" ht="15" hidden="false" customHeight="true" outlineLevel="0" collapsed="false">
      <c r="B763" s="4"/>
      <c r="M763" s="4"/>
    </row>
    <row r="764" customFormat="false" ht="15" hidden="false" customHeight="true" outlineLevel="0" collapsed="false">
      <c r="B764" s="4"/>
      <c r="M764" s="4"/>
    </row>
    <row r="765" customFormat="false" ht="15" hidden="false" customHeight="true" outlineLevel="0" collapsed="false">
      <c r="B765" s="4"/>
      <c r="M765" s="4"/>
    </row>
    <row r="766" customFormat="false" ht="15" hidden="false" customHeight="true" outlineLevel="0" collapsed="false">
      <c r="B766" s="4"/>
      <c r="M766" s="4"/>
    </row>
    <row r="767" customFormat="false" ht="15" hidden="false" customHeight="true" outlineLevel="0" collapsed="false">
      <c r="B767" s="4"/>
      <c r="M767" s="4"/>
    </row>
    <row r="768" customFormat="false" ht="15" hidden="false" customHeight="true" outlineLevel="0" collapsed="false">
      <c r="B768" s="4"/>
      <c r="M768" s="4"/>
    </row>
    <row r="769" customFormat="false" ht="15" hidden="false" customHeight="true" outlineLevel="0" collapsed="false">
      <c r="B769" s="4"/>
      <c r="M769" s="4"/>
    </row>
    <row r="770" customFormat="false" ht="15" hidden="false" customHeight="true" outlineLevel="0" collapsed="false">
      <c r="B770" s="4"/>
      <c r="M770" s="4"/>
    </row>
    <row r="771" customFormat="false" ht="15" hidden="false" customHeight="true" outlineLevel="0" collapsed="false">
      <c r="B771" s="4"/>
      <c r="M771" s="4"/>
    </row>
    <row r="772" customFormat="false" ht="15" hidden="false" customHeight="true" outlineLevel="0" collapsed="false">
      <c r="B772" s="4"/>
      <c r="M772" s="4"/>
    </row>
    <row r="773" customFormat="false" ht="15" hidden="false" customHeight="true" outlineLevel="0" collapsed="false">
      <c r="B773" s="4"/>
      <c r="M773" s="4"/>
    </row>
    <row r="774" customFormat="false" ht="15" hidden="false" customHeight="true" outlineLevel="0" collapsed="false">
      <c r="B774" s="4"/>
      <c r="M774" s="4"/>
    </row>
    <row r="775" customFormat="false" ht="15" hidden="false" customHeight="true" outlineLevel="0" collapsed="false">
      <c r="B775" s="4"/>
      <c r="M775" s="4"/>
    </row>
    <row r="776" customFormat="false" ht="15" hidden="false" customHeight="true" outlineLevel="0" collapsed="false">
      <c r="B776" s="4"/>
      <c r="M776" s="4"/>
    </row>
    <row r="777" customFormat="false" ht="15" hidden="false" customHeight="true" outlineLevel="0" collapsed="false">
      <c r="B777" s="4"/>
      <c r="M777" s="4"/>
    </row>
    <row r="778" customFormat="false" ht="15" hidden="false" customHeight="true" outlineLevel="0" collapsed="false">
      <c r="B778" s="4"/>
      <c r="M778" s="4"/>
    </row>
    <row r="779" customFormat="false" ht="15" hidden="false" customHeight="true" outlineLevel="0" collapsed="false">
      <c r="B779" s="4"/>
      <c r="M779" s="4"/>
    </row>
    <row r="780" customFormat="false" ht="15" hidden="false" customHeight="true" outlineLevel="0" collapsed="false">
      <c r="B780" s="4"/>
      <c r="M780" s="4"/>
    </row>
    <row r="781" customFormat="false" ht="15" hidden="false" customHeight="true" outlineLevel="0" collapsed="false">
      <c r="B781" s="4"/>
      <c r="M781" s="4"/>
    </row>
    <row r="782" customFormat="false" ht="15" hidden="false" customHeight="true" outlineLevel="0" collapsed="false">
      <c r="B782" s="4"/>
      <c r="M782" s="4"/>
    </row>
    <row r="783" customFormat="false" ht="15" hidden="false" customHeight="true" outlineLevel="0" collapsed="false">
      <c r="B783" s="4"/>
      <c r="M783" s="4"/>
    </row>
    <row r="784" customFormat="false" ht="15" hidden="false" customHeight="true" outlineLevel="0" collapsed="false">
      <c r="B784" s="4"/>
      <c r="M784" s="4"/>
    </row>
    <row r="785" customFormat="false" ht="15" hidden="false" customHeight="true" outlineLevel="0" collapsed="false">
      <c r="B785" s="4"/>
      <c r="M785" s="4"/>
    </row>
    <row r="786" customFormat="false" ht="15" hidden="false" customHeight="true" outlineLevel="0" collapsed="false">
      <c r="B786" s="4"/>
      <c r="M786" s="4"/>
    </row>
    <row r="787" customFormat="false" ht="15" hidden="false" customHeight="true" outlineLevel="0" collapsed="false">
      <c r="B787" s="4"/>
      <c r="M787" s="4"/>
    </row>
    <row r="788" customFormat="false" ht="15" hidden="false" customHeight="true" outlineLevel="0" collapsed="false">
      <c r="B788" s="4"/>
      <c r="M788" s="4"/>
    </row>
    <row r="789" customFormat="false" ht="15" hidden="false" customHeight="true" outlineLevel="0" collapsed="false">
      <c r="B789" s="4"/>
      <c r="M789" s="4"/>
    </row>
    <row r="790" customFormat="false" ht="15" hidden="false" customHeight="true" outlineLevel="0" collapsed="false">
      <c r="B790" s="4"/>
      <c r="M790" s="4"/>
    </row>
    <row r="791" customFormat="false" ht="15" hidden="false" customHeight="true" outlineLevel="0" collapsed="false">
      <c r="B791" s="4"/>
      <c r="M791" s="4"/>
    </row>
    <row r="792" customFormat="false" ht="15" hidden="false" customHeight="true" outlineLevel="0" collapsed="false">
      <c r="B792" s="4"/>
      <c r="M792" s="4"/>
    </row>
    <row r="793" customFormat="false" ht="15" hidden="false" customHeight="true" outlineLevel="0" collapsed="false">
      <c r="B793" s="4"/>
      <c r="M793" s="4"/>
    </row>
    <row r="794" customFormat="false" ht="15" hidden="false" customHeight="true" outlineLevel="0" collapsed="false">
      <c r="B794" s="4"/>
      <c r="M794" s="4"/>
    </row>
    <row r="795" customFormat="false" ht="15" hidden="false" customHeight="true" outlineLevel="0" collapsed="false">
      <c r="B795" s="4"/>
      <c r="M795" s="4"/>
    </row>
    <row r="796" customFormat="false" ht="15" hidden="false" customHeight="true" outlineLevel="0" collapsed="false">
      <c r="B796" s="4"/>
      <c r="M796" s="4"/>
    </row>
    <row r="797" customFormat="false" ht="15" hidden="false" customHeight="true" outlineLevel="0" collapsed="false">
      <c r="B797" s="4"/>
      <c r="M797" s="4"/>
    </row>
    <row r="798" customFormat="false" ht="15" hidden="false" customHeight="true" outlineLevel="0" collapsed="false">
      <c r="B798" s="4"/>
      <c r="M798" s="4"/>
    </row>
    <row r="799" customFormat="false" ht="15" hidden="false" customHeight="true" outlineLevel="0" collapsed="false">
      <c r="B799" s="4"/>
      <c r="M799" s="4"/>
    </row>
    <row r="800" customFormat="false" ht="15" hidden="false" customHeight="true" outlineLevel="0" collapsed="false">
      <c r="B800" s="4"/>
      <c r="M800" s="4"/>
    </row>
    <row r="801" customFormat="false" ht="15" hidden="false" customHeight="true" outlineLevel="0" collapsed="false">
      <c r="B801" s="4"/>
      <c r="M801" s="4"/>
    </row>
    <row r="802" customFormat="false" ht="15" hidden="false" customHeight="true" outlineLevel="0" collapsed="false">
      <c r="B802" s="4"/>
      <c r="M802" s="4"/>
    </row>
    <row r="803" customFormat="false" ht="15" hidden="false" customHeight="true" outlineLevel="0" collapsed="false">
      <c r="B803" s="4"/>
      <c r="M803" s="4"/>
    </row>
    <row r="804" customFormat="false" ht="15" hidden="false" customHeight="true" outlineLevel="0" collapsed="false">
      <c r="B804" s="4"/>
      <c r="M804" s="4"/>
    </row>
    <row r="805" customFormat="false" ht="15" hidden="false" customHeight="true" outlineLevel="0" collapsed="false">
      <c r="B805" s="4"/>
      <c r="M805" s="4"/>
    </row>
    <row r="806" customFormat="false" ht="15" hidden="false" customHeight="true" outlineLevel="0" collapsed="false">
      <c r="B806" s="4"/>
      <c r="M806" s="4"/>
    </row>
    <row r="807" customFormat="false" ht="15" hidden="false" customHeight="true" outlineLevel="0" collapsed="false">
      <c r="B807" s="4"/>
      <c r="M807" s="4"/>
    </row>
    <row r="808" customFormat="false" ht="15" hidden="false" customHeight="true" outlineLevel="0" collapsed="false">
      <c r="B808" s="4"/>
      <c r="M808" s="4"/>
    </row>
    <row r="809" customFormat="false" ht="15" hidden="false" customHeight="true" outlineLevel="0" collapsed="false">
      <c r="B809" s="4"/>
      <c r="M809" s="4"/>
    </row>
    <row r="810" customFormat="false" ht="15" hidden="false" customHeight="true" outlineLevel="0" collapsed="false">
      <c r="B810" s="4"/>
      <c r="M810" s="4"/>
    </row>
    <row r="811" customFormat="false" ht="15" hidden="false" customHeight="true" outlineLevel="0" collapsed="false">
      <c r="B811" s="4"/>
      <c r="M811" s="4"/>
    </row>
    <row r="812" customFormat="false" ht="15" hidden="false" customHeight="true" outlineLevel="0" collapsed="false">
      <c r="B812" s="4"/>
      <c r="M812" s="4"/>
    </row>
    <row r="813" customFormat="false" ht="15" hidden="false" customHeight="true" outlineLevel="0" collapsed="false">
      <c r="B813" s="4"/>
      <c r="M813" s="4"/>
    </row>
    <row r="814" customFormat="false" ht="15" hidden="false" customHeight="true" outlineLevel="0" collapsed="false">
      <c r="B814" s="4"/>
      <c r="M814" s="4"/>
    </row>
    <row r="815" customFormat="false" ht="15" hidden="false" customHeight="true" outlineLevel="0" collapsed="false">
      <c r="B815" s="4"/>
      <c r="M815" s="4"/>
    </row>
    <row r="816" customFormat="false" ht="15" hidden="false" customHeight="true" outlineLevel="0" collapsed="false">
      <c r="B816" s="4"/>
      <c r="M816" s="4"/>
    </row>
    <row r="817" customFormat="false" ht="15" hidden="false" customHeight="true" outlineLevel="0" collapsed="false">
      <c r="B817" s="4"/>
      <c r="M817" s="4"/>
    </row>
    <row r="818" customFormat="false" ht="15" hidden="false" customHeight="true" outlineLevel="0" collapsed="false">
      <c r="B818" s="4"/>
      <c r="M818" s="4"/>
    </row>
    <row r="819" customFormat="false" ht="15" hidden="false" customHeight="true" outlineLevel="0" collapsed="false">
      <c r="B819" s="4"/>
      <c r="M819" s="4"/>
    </row>
    <row r="820" customFormat="false" ht="15" hidden="false" customHeight="true" outlineLevel="0" collapsed="false">
      <c r="B820" s="4"/>
      <c r="M820" s="4"/>
    </row>
    <row r="821" customFormat="false" ht="15" hidden="false" customHeight="true" outlineLevel="0" collapsed="false">
      <c r="B821" s="4"/>
      <c r="M821" s="4"/>
    </row>
    <row r="822" customFormat="false" ht="15" hidden="false" customHeight="true" outlineLevel="0" collapsed="false">
      <c r="B822" s="4"/>
      <c r="M822" s="4"/>
    </row>
    <row r="823" customFormat="false" ht="15" hidden="false" customHeight="true" outlineLevel="0" collapsed="false">
      <c r="B823" s="4"/>
      <c r="M823" s="4"/>
    </row>
    <row r="824" customFormat="false" ht="15" hidden="false" customHeight="true" outlineLevel="0" collapsed="false">
      <c r="B824" s="4"/>
      <c r="M824" s="4"/>
    </row>
    <row r="825" customFormat="false" ht="15" hidden="false" customHeight="true" outlineLevel="0" collapsed="false">
      <c r="B825" s="4"/>
      <c r="M825" s="4"/>
    </row>
    <row r="826" customFormat="false" ht="15" hidden="false" customHeight="true" outlineLevel="0" collapsed="false">
      <c r="B826" s="4"/>
      <c r="M826" s="4"/>
    </row>
    <row r="827" customFormat="false" ht="15" hidden="false" customHeight="true" outlineLevel="0" collapsed="false">
      <c r="B827" s="4"/>
      <c r="M827" s="4"/>
    </row>
    <row r="828" customFormat="false" ht="15" hidden="false" customHeight="true" outlineLevel="0" collapsed="false">
      <c r="B828" s="4"/>
      <c r="M828" s="4"/>
    </row>
    <row r="829" customFormat="false" ht="15" hidden="false" customHeight="true" outlineLevel="0" collapsed="false">
      <c r="B829" s="4"/>
      <c r="M829" s="4"/>
    </row>
    <row r="830" customFormat="false" ht="15" hidden="false" customHeight="true" outlineLevel="0" collapsed="false">
      <c r="B830" s="4"/>
      <c r="M830" s="4"/>
    </row>
    <row r="831" customFormat="false" ht="15" hidden="false" customHeight="true" outlineLevel="0" collapsed="false">
      <c r="B831" s="4"/>
      <c r="M831" s="4"/>
    </row>
    <row r="832" customFormat="false" ht="15" hidden="false" customHeight="true" outlineLevel="0" collapsed="false">
      <c r="B832" s="4"/>
      <c r="M832" s="4"/>
    </row>
    <row r="833" customFormat="false" ht="15" hidden="false" customHeight="true" outlineLevel="0" collapsed="false">
      <c r="B833" s="4"/>
      <c r="M833" s="4"/>
    </row>
    <row r="834" customFormat="false" ht="15" hidden="false" customHeight="true" outlineLevel="0" collapsed="false">
      <c r="B834" s="4"/>
      <c r="M834" s="4"/>
    </row>
    <row r="835" customFormat="false" ht="15" hidden="false" customHeight="true" outlineLevel="0" collapsed="false">
      <c r="B835" s="4"/>
      <c r="M835" s="4"/>
    </row>
    <row r="836" customFormat="false" ht="15" hidden="false" customHeight="true" outlineLevel="0" collapsed="false">
      <c r="B836" s="4"/>
      <c r="M836" s="4"/>
    </row>
    <row r="837" customFormat="false" ht="15" hidden="false" customHeight="true" outlineLevel="0" collapsed="false">
      <c r="B837" s="4"/>
      <c r="M837" s="4"/>
    </row>
    <row r="838" customFormat="false" ht="15" hidden="false" customHeight="true" outlineLevel="0" collapsed="false">
      <c r="B838" s="4"/>
      <c r="M838" s="4"/>
    </row>
    <row r="839" customFormat="false" ht="15" hidden="false" customHeight="true" outlineLevel="0" collapsed="false">
      <c r="B839" s="4"/>
      <c r="M839" s="4"/>
    </row>
    <row r="840" customFormat="false" ht="15" hidden="false" customHeight="true" outlineLevel="0" collapsed="false">
      <c r="B840" s="4"/>
      <c r="M840" s="4"/>
    </row>
    <row r="841" customFormat="false" ht="15" hidden="false" customHeight="true" outlineLevel="0" collapsed="false">
      <c r="B841" s="4"/>
      <c r="M841" s="4"/>
    </row>
    <row r="842" customFormat="false" ht="15" hidden="false" customHeight="true" outlineLevel="0" collapsed="false">
      <c r="B842" s="4"/>
      <c r="M842" s="4"/>
    </row>
    <row r="843" customFormat="false" ht="15" hidden="false" customHeight="true" outlineLevel="0" collapsed="false">
      <c r="B843" s="4"/>
      <c r="M843" s="4"/>
    </row>
    <row r="844" customFormat="false" ht="15" hidden="false" customHeight="true" outlineLevel="0" collapsed="false">
      <c r="B844" s="4"/>
      <c r="M844" s="4"/>
    </row>
    <row r="845" customFormat="false" ht="15" hidden="false" customHeight="true" outlineLevel="0" collapsed="false">
      <c r="B845" s="4"/>
      <c r="M845" s="4"/>
    </row>
    <row r="846" customFormat="false" ht="15" hidden="false" customHeight="true" outlineLevel="0" collapsed="false">
      <c r="B846" s="4"/>
      <c r="M846" s="4"/>
    </row>
    <row r="847" customFormat="false" ht="15" hidden="false" customHeight="true" outlineLevel="0" collapsed="false">
      <c r="B847" s="4"/>
      <c r="M847" s="4"/>
    </row>
    <row r="848" customFormat="false" ht="15" hidden="false" customHeight="true" outlineLevel="0" collapsed="false">
      <c r="B848" s="4"/>
      <c r="M848" s="4"/>
    </row>
    <row r="849" customFormat="false" ht="15" hidden="false" customHeight="true" outlineLevel="0" collapsed="false">
      <c r="B849" s="4"/>
      <c r="M849" s="4"/>
    </row>
    <row r="850" customFormat="false" ht="15" hidden="false" customHeight="true" outlineLevel="0" collapsed="false">
      <c r="B850" s="4"/>
      <c r="M850" s="4"/>
    </row>
    <row r="851" customFormat="false" ht="15" hidden="false" customHeight="true" outlineLevel="0" collapsed="false">
      <c r="B851" s="4"/>
      <c r="M851" s="4"/>
    </row>
    <row r="852" customFormat="false" ht="15" hidden="false" customHeight="true" outlineLevel="0" collapsed="false">
      <c r="B852" s="4"/>
      <c r="M852" s="4"/>
    </row>
    <row r="853" customFormat="false" ht="15" hidden="false" customHeight="true" outlineLevel="0" collapsed="false">
      <c r="B853" s="4"/>
      <c r="M853" s="4"/>
    </row>
    <row r="854" customFormat="false" ht="15" hidden="false" customHeight="true" outlineLevel="0" collapsed="false">
      <c r="B854" s="4"/>
      <c r="M854" s="4"/>
    </row>
    <row r="855" customFormat="false" ht="15" hidden="false" customHeight="true" outlineLevel="0" collapsed="false">
      <c r="B855" s="4"/>
      <c r="M855" s="4"/>
    </row>
    <row r="856" customFormat="false" ht="15" hidden="false" customHeight="true" outlineLevel="0" collapsed="false">
      <c r="B856" s="4"/>
      <c r="M856" s="4"/>
    </row>
    <row r="857" customFormat="false" ht="15" hidden="false" customHeight="true" outlineLevel="0" collapsed="false">
      <c r="B857" s="4"/>
      <c r="M857" s="4"/>
    </row>
    <row r="858" customFormat="false" ht="15" hidden="false" customHeight="true" outlineLevel="0" collapsed="false">
      <c r="B858" s="4"/>
      <c r="M858" s="4"/>
    </row>
    <row r="859" customFormat="false" ht="15" hidden="false" customHeight="true" outlineLevel="0" collapsed="false">
      <c r="B859" s="4"/>
      <c r="M859" s="4"/>
    </row>
    <row r="860" customFormat="false" ht="15" hidden="false" customHeight="true" outlineLevel="0" collapsed="false">
      <c r="B860" s="4"/>
      <c r="M860" s="4"/>
    </row>
    <row r="861" customFormat="false" ht="15" hidden="false" customHeight="true" outlineLevel="0" collapsed="false">
      <c r="B861" s="4"/>
      <c r="M861" s="4"/>
    </row>
    <row r="862" customFormat="false" ht="15" hidden="false" customHeight="true" outlineLevel="0" collapsed="false">
      <c r="B862" s="4"/>
      <c r="M862" s="4"/>
    </row>
    <row r="863" customFormat="false" ht="15" hidden="false" customHeight="true" outlineLevel="0" collapsed="false">
      <c r="B863" s="4"/>
      <c r="M863" s="4"/>
    </row>
    <row r="864" customFormat="false" ht="15" hidden="false" customHeight="true" outlineLevel="0" collapsed="false">
      <c r="B864" s="4"/>
      <c r="M864" s="4"/>
    </row>
    <row r="865" customFormat="false" ht="15" hidden="false" customHeight="true" outlineLevel="0" collapsed="false">
      <c r="B865" s="4"/>
      <c r="M865" s="4"/>
    </row>
    <row r="866" customFormat="false" ht="15" hidden="false" customHeight="true" outlineLevel="0" collapsed="false">
      <c r="B866" s="4"/>
      <c r="M866" s="4"/>
    </row>
    <row r="867" customFormat="false" ht="15" hidden="false" customHeight="true" outlineLevel="0" collapsed="false">
      <c r="B867" s="4"/>
      <c r="M867" s="4"/>
    </row>
    <row r="868" customFormat="false" ht="15" hidden="false" customHeight="true" outlineLevel="0" collapsed="false">
      <c r="B868" s="4"/>
      <c r="M868" s="4"/>
    </row>
    <row r="869" customFormat="false" ht="15" hidden="false" customHeight="true" outlineLevel="0" collapsed="false">
      <c r="B869" s="4"/>
      <c r="M869" s="4"/>
    </row>
    <row r="870" customFormat="false" ht="15" hidden="false" customHeight="true" outlineLevel="0" collapsed="false">
      <c r="B870" s="4"/>
      <c r="M870" s="4"/>
    </row>
    <row r="871" customFormat="false" ht="15" hidden="false" customHeight="true" outlineLevel="0" collapsed="false">
      <c r="B871" s="4"/>
      <c r="M871" s="4"/>
    </row>
    <row r="872" customFormat="false" ht="15" hidden="false" customHeight="true" outlineLevel="0" collapsed="false">
      <c r="B872" s="4"/>
      <c r="M872" s="4"/>
    </row>
    <row r="873" customFormat="false" ht="15" hidden="false" customHeight="true" outlineLevel="0" collapsed="false">
      <c r="B873" s="4"/>
      <c r="M873" s="4"/>
    </row>
    <row r="874" customFormat="false" ht="15" hidden="false" customHeight="true" outlineLevel="0" collapsed="false">
      <c r="B874" s="4"/>
      <c r="M874" s="4"/>
    </row>
    <row r="875" customFormat="false" ht="15" hidden="false" customHeight="true" outlineLevel="0" collapsed="false">
      <c r="B875" s="4"/>
      <c r="M875" s="4"/>
    </row>
    <row r="876" customFormat="false" ht="15" hidden="false" customHeight="true" outlineLevel="0" collapsed="false">
      <c r="B876" s="4"/>
      <c r="M876" s="4"/>
    </row>
    <row r="877" customFormat="false" ht="15" hidden="false" customHeight="true" outlineLevel="0" collapsed="false">
      <c r="B877" s="4"/>
      <c r="M877" s="4"/>
    </row>
    <row r="878" customFormat="false" ht="15" hidden="false" customHeight="true" outlineLevel="0" collapsed="false">
      <c r="B878" s="4"/>
      <c r="M878" s="4"/>
    </row>
    <row r="879" customFormat="false" ht="15" hidden="false" customHeight="true" outlineLevel="0" collapsed="false">
      <c r="B879" s="4"/>
      <c r="M879" s="4"/>
    </row>
    <row r="880" customFormat="false" ht="15" hidden="false" customHeight="true" outlineLevel="0" collapsed="false">
      <c r="B880" s="4"/>
      <c r="M880" s="4"/>
    </row>
    <row r="881" customFormat="false" ht="15" hidden="false" customHeight="true" outlineLevel="0" collapsed="false">
      <c r="B881" s="4"/>
      <c r="M881" s="4"/>
    </row>
    <row r="882" customFormat="false" ht="15" hidden="false" customHeight="true" outlineLevel="0" collapsed="false">
      <c r="B882" s="4"/>
      <c r="M882" s="4"/>
    </row>
    <row r="883" customFormat="false" ht="15" hidden="false" customHeight="true" outlineLevel="0" collapsed="false">
      <c r="B883" s="4"/>
      <c r="M883" s="4"/>
    </row>
    <row r="884" customFormat="false" ht="15" hidden="false" customHeight="true" outlineLevel="0" collapsed="false">
      <c r="B884" s="4"/>
      <c r="M884" s="4"/>
    </row>
    <row r="885" customFormat="false" ht="15" hidden="false" customHeight="true" outlineLevel="0" collapsed="false">
      <c r="B885" s="4"/>
      <c r="M885" s="4"/>
    </row>
    <row r="886" customFormat="false" ht="15" hidden="false" customHeight="true" outlineLevel="0" collapsed="false">
      <c r="B886" s="4"/>
      <c r="M886" s="4"/>
    </row>
    <row r="887" customFormat="false" ht="15" hidden="false" customHeight="true" outlineLevel="0" collapsed="false">
      <c r="B887" s="4"/>
      <c r="M887" s="4"/>
    </row>
    <row r="888" customFormat="false" ht="15" hidden="false" customHeight="true" outlineLevel="0" collapsed="false">
      <c r="B888" s="4"/>
      <c r="M888" s="4"/>
    </row>
    <row r="889" customFormat="false" ht="15" hidden="false" customHeight="true" outlineLevel="0" collapsed="false">
      <c r="B889" s="4"/>
      <c r="M889" s="4"/>
    </row>
    <row r="890" customFormat="false" ht="15" hidden="false" customHeight="true" outlineLevel="0" collapsed="false">
      <c r="B890" s="4"/>
      <c r="M890" s="4"/>
    </row>
    <row r="891" customFormat="false" ht="15" hidden="false" customHeight="true" outlineLevel="0" collapsed="false">
      <c r="B891" s="4"/>
      <c r="M891" s="4"/>
    </row>
    <row r="892" customFormat="false" ht="15" hidden="false" customHeight="true" outlineLevel="0" collapsed="false">
      <c r="B892" s="4"/>
      <c r="M892" s="4"/>
    </row>
    <row r="893" customFormat="false" ht="15" hidden="false" customHeight="true" outlineLevel="0" collapsed="false">
      <c r="B893" s="4"/>
      <c r="M893" s="4"/>
    </row>
    <row r="894" customFormat="false" ht="15" hidden="false" customHeight="true" outlineLevel="0" collapsed="false">
      <c r="B894" s="4"/>
      <c r="M894" s="4"/>
    </row>
    <row r="895" customFormat="false" ht="15" hidden="false" customHeight="true" outlineLevel="0" collapsed="false">
      <c r="B895" s="4"/>
      <c r="M895" s="4"/>
    </row>
    <row r="896" customFormat="false" ht="15" hidden="false" customHeight="true" outlineLevel="0" collapsed="false">
      <c r="B896" s="4"/>
      <c r="M896" s="4"/>
    </row>
    <row r="897" customFormat="false" ht="15" hidden="false" customHeight="true" outlineLevel="0" collapsed="false">
      <c r="B897" s="4"/>
      <c r="M897" s="4"/>
    </row>
    <row r="898" customFormat="false" ht="15" hidden="false" customHeight="true" outlineLevel="0" collapsed="false">
      <c r="B898" s="4"/>
      <c r="M898" s="4"/>
    </row>
    <row r="899" customFormat="false" ht="15" hidden="false" customHeight="true" outlineLevel="0" collapsed="false">
      <c r="B899" s="4"/>
      <c r="M899" s="4"/>
    </row>
    <row r="900" customFormat="false" ht="15" hidden="false" customHeight="true" outlineLevel="0" collapsed="false">
      <c r="B900" s="4"/>
      <c r="M900" s="4"/>
    </row>
    <row r="901" customFormat="false" ht="15" hidden="false" customHeight="true" outlineLevel="0" collapsed="false">
      <c r="B901" s="4"/>
      <c r="M901" s="4"/>
    </row>
    <row r="902" customFormat="false" ht="15" hidden="false" customHeight="true" outlineLevel="0" collapsed="false">
      <c r="B902" s="4"/>
      <c r="M902" s="4"/>
    </row>
    <row r="903" customFormat="false" ht="15" hidden="false" customHeight="true" outlineLevel="0" collapsed="false">
      <c r="B903" s="4"/>
      <c r="M903" s="4"/>
    </row>
    <row r="904" customFormat="false" ht="15" hidden="false" customHeight="true" outlineLevel="0" collapsed="false">
      <c r="B904" s="4"/>
      <c r="M904" s="4"/>
    </row>
    <row r="905" customFormat="false" ht="15" hidden="false" customHeight="true" outlineLevel="0" collapsed="false">
      <c r="B905" s="4"/>
      <c r="M905" s="4"/>
    </row>
    <row r="906" customFormat="false" ht="15" hidden="false" customHeight="true" outlineLevel="0" collapsed="false">
      <c r="B906" s="4"/>
      <c r="M906" s="4"/>
    </row>
    <row r="907" customFormat="false" ht="15" hidden="false" customHeight="true" outlineLevel="0" collapsed="false">
      <c r="B907" s="4"/>
      <c r="M907" s="4"/>
    </row>
    <row r="908" customFormat="false" ht="15" hidden="false" customHeight="true" outlineLevel="0" collapsed="false">
      <c r="B908" s="4"/>
      <c r="M908" s="4"/>
    </row>
    <row r="909" customFormat="false" ht="15" hidden="false" customHeight="true" outlineLevel="0" collapsed="false">
      <c r="B909" s="4"/>
      <c r="M909" s="4"/>
    </row>
    <row r="910" customFormat="false" ht="15" hidden="false" customHeight="true" outlineLevel="0" collapsed="false">
      <c r="B910" s="4"/>
      <c r="M910" s="4"/>
    </row>
    <row r="911" customFormat="false" ht="15" hidden="false" customHeight="true" outlineLevel="0" collapsed="false">
      <c r="B911" s="4"/>
      <c r="M911" s="4"/>
    </row>
    <row r="912" customFormat="false" ht="15" hidden="false" customHeight="true" outlineLevel="0" collapsed="false">
      <c r="B912" s="4"/>
      <c r="M912" s="4"/>
    </row>
    <row r="913" customFormat="false" ht="15" hidden="false" customHeight="true" outlineLevel="0" collapsed="false">
      <c r="B913" s="4"/>
      <c r="M913" s="4"/>
    </row>
    <row r="914" customFormat="false" ht="15" hidden="false" customHeight="true" outlineLevel="0" collapsed="false">
      <c r="B914" s="4"/>
      <c r="M914" s="4"/>
    </row>
    <row r="915" customFormat="false" ht="15" hidden="false" customHeight="true" outlineLevel="0" collapsed="false">
      <c r="B915" s="4"/>
      <c r="M915" s="4"/>
    </row>
    <row r="916" customFormat="false" ht="15" hidden="false" customHeight="true" outlineLevel="0" collapsed="false">
      <c r="B916" s="4"/>
      <c r="M916" s="4"/>
    </row>
    <row r="917" customFormat="false" ht="15" hidden="false" customHeight="true" outlineLevel="0" collapsed="false">
      <c r="B917" s="4"/>
      <c r="M917" s="4"/>
    </row>
    <row r="918" customFormat="false" ht="15" hidden="false" customHeight="true" outlineLevel="0" collapsed="false">
      <c r="B918" s="4"/>
      <c r="M918" s="4"/>
    </row>
    <row r="919" customFormat="false" ht="15" hidden="false" customHeight="true" outlineLevel="0" collapsed="false">
      <c r="B919" s="4"/>
      <c r="M919" s="4"/>
    </row>
    <row r="920" customFormat="false" ht="15" hidden="false" customHeight="true" outlineLevel="0" collapsed="false">
      <c r="B920" s="4"/>
      <c r="M920" s="4"/>
    </row>
    <row r="921" customFormat="false" ht="15" hidden="false" customHeight="true" outlineLevel="0" collapsed="false">
      <c r="B921" s="4"/>
      <c r="M921" s="4"/>
    </row>
    <row r="922" customFormat="false" ht="15" hidden="false" customHeight="true" outlineLevel="0" collapsed="false">
      <c r="B922" s="4"/>
      <c r="M922" s="4"/>
    </row>
    <row r="923" customFormat="false" ht="15" hidden="false" customHeight="true" outlineLevel="0" collapsed="false">
      <c r="B923" s="4"/>
      <c r="M923" s="4"/>
    </row>
    <row r="924" customFormat="false" ht="15" hidden="false" customHeight="true" outlineLevel="0" collapsed="false">
      <c r="B924" s="4"/>
      <c r="M924" s="4"/>
    </row>
    <row r="925" customFormat="false" ht="15" hidden="false" customHeight="true" outlineLevel="0" collapsed="false">
      <c r="B925" s="4"/>
      <c r="M925" s="4"/>
    </row>
    <row r="926" customFormat="false" ht="15" hidden="false" customHeight="true" outlineLevel="0" collapsed="false">
      <c r="B926" s="4"/>
      <c r="M926" s="4"/>
    </row>
    <row r="927" customFormat="false" ht="15" hidden="false" customHeight="true" outlineLevel="0" collapsed="false">
      <c r="B927" s="4"/>
      <c r="M927" s="4"/>
    </row>
    <row r="928" customFormat="false" ht="15" hidden="false" customHeight="true" outlineLevel="0" collapsed="false">
      <c r="B928" s="4"/>
      <c r="M928" s="4"/>
    </row>
    <row r="929" customFormat="false" ht="15" hidden="false" customHeight="true" outlineLevel="0" collapsed="false">
      <c r="B929" s="4"/>
      <c r="M929" s="4"/>
    </row>
    <row r="930" customFormat="false" ht="15" hidden="false" customHeight="true" outlineLevel="0" collapsed="false">
      <c r="B930" s="4"/>
      <c r="M930" s="4"/>
    </row>
    <row r="931" customFormat="false" ht="15" hidden="false" customHeight="true" outlineLevel="0" collapsed="false">
      <c r="B931" s="4"/>
      <c r="M931" s="4"/>
    </row>
    <row r="932" customFormat="false" ht="15" hidden="false" customHeight="true" outlineLevel="0" collapsed="false">
      <c r="B932" s="4"/>
      <c r="M932" s="4"/>
    </row>
    <row r="933" customFormat="false" ht="15" hidden="false" customHeight="true" outlineLevel="0" collapsed="false">
      <c r="B933" s="4"/>
      <c r="M933" s="4"/>
    </row>
    <row r="934" customFormat="false" ht="15" hidden="false" customHeight="true" outlineLevel="0" collapsed="false">
      <c r="B934" s="4"/>
      <c r="M934" s="4"/>
    </row>
    <row r="935" customFormat="false" ht="15" hidden="false" customHeight="true" outlineLevel="0" collapsed="false">
      <c r="B935" s="4"/>
      <c r="M935" s="4"/>
    </row>
    <row r="936" customFormat="false" ht="15" hidden="false" customHeight="true" outlineLevel="0" collapsed="false">
      <c r="B936" s="4"/>
      <c r="M936" s="4"/>
    </row>
    <row r="937" customFormat="false" ht="15" hidden="false" customHeight="true" outlineLevel="0" collapsed="false">
      <c r="B937" s="4"/>
      <c r="M937" s="4"/>
    </row>
    <row r="938" customFormat="false" ht="15" hidden="false" customHeight="true" outlineLevel="0" collapsed="false">
      <c r="B938" s="4"/>
      <c r="M938" s="4"/>
    </row>
    <row r="939" customFormat="false" ht="15" hidden="false" customHeight="true" outlineLevel="0" collapsed="false">
      <c r="B939" s="4"/>
      <c r="M939" s="4"/>
    </row>
    <row r="940" customFormat="false" ht="15" hidden="false" customHeight="true" outlineLevel="0" collapsed="false">
      <c r="B940" s="4"/>
      <c r="M940" s="4"/>
    </row>
    <row r="941" customFormat="false" ht="15" hidden="false" customHeight="true" outlineLevel="0" collapsed="false">
      <c r="B941" s="4"/>
      <c r="M941" s="4"/>
    </row>
    <row r="942" customFormat="false" ht="15" hidden="false" customHeight="true" outlineLevel="0" collapsed="false">
      <c r="B942" s="4"/>
      <c r="M942" s="4"/>
    </row>
    <row r="943" customFormat="false" ht="15" hidden="false" customHeight="true" outlineLevel="0" collapsed="false">
      <c r="B943" s="4"/>
      <c r="M943" s="4"/>
    </row>
    <row r="944" customFormat="false" ht="15" hidden="false" customHeight="true" outlineLevel="0" collapsed="false">
      <c r="B944" s="4"/>
      <c r="M944" s="4"/>
    </row>
    <row r="945" customFormat="false" ht="15" hidden="false" customHeight="true" outlineLevel="0" collapsed="false">
      <c r="B945" s="4"/>
      <c r="M945" s="4"/>
    </row>
    <row r="946" customFormat="false" ht="15" hidden="false" customHeight="true" outlineLevel="0" collapsed="false">
      <c r="B946" s="4"/>
      <c r="M946" s="4"/>
    </row>
    <row r="947" customFormat="false" ht="15" hidden="false" customHeight="true" outlineLevel="0" collapsed="false">
      <c r="B947" s="4"/>
      <c r="M947" s="4"/>
    </row>
    <row r="948" customFormat="false" ht="15" hidden="false" customHeight="true" outlineLevel="0" collapsed="false">
      <c r="B948" s="4"/>
      <c r="M948" s="4"/>
    </row>
    <row r="949" customFormat="false" ht="15" hidden="false" customHeight="true" outlineLevel="0" collapsed="false">
      <c r="B949" s="4"/>
      <c r="M949" s="4"/>
    </row>
    <row r="950" customFormat="false" ht="15" hidden="false" customHeight="true" outlineLevel="0" collapsed="false">
      <c r="B950" s="4"/>
      <c r="M950" s="4"/>
    </row>
    <row r="951" customFormat="false" ht="15" hidden="false" customHeight="true" outlineLevel="0" collapsed="false">
      <c r="B951" s="4"/>
      <c r="M951" s="4"/>
    </row>
    <row r="952" customFormat="false" ht="15" hidden="false" customHeight="true" outlineLevel="0" collapsed="false">
      <c r="B952" s="4"/>
      <c r="M952" s="4"/>
    </row>
    <row r="953" customFormat="false" ht="15" hidden="false" customHeight="true" outlineLevel="0" collapsed="false">
      <c r="B953" s="4"/>
      <c r="M953" s="4"/>
    </row>
    <row r="954" customFormat="false" ht="15" hidden="false" customHeight="true" outlineLevel="0" collapsed="false">
      <c r="B954" s="4"/>
      <c r="M954" s="4"/>
    </row>
    <row r="955" customFormat="false" ht="15" hidden="false" customHeight="true" outlineLevel="0" collapsed="false">
      <c r="B955" s="4"/>
      <c r="M955" s="4"/>
    </row>
    <row r="956" customFormat="false" ht="15" hidden="false" customHeight="true" outlineLevel="0" collapsed="false">
      <c r="B956" s="4"/>
      <c r="M956" s="4"/>
    </row>
    <row r="957" customFormat="false" ht="15" hidden="false" customHeight="true" outlineLevel="0" collapsed="false">
      <c r="B957" s="4"/>
      <c r="M957" s="4"/>
    </row>
    <row r="958" customFormat="false" ht="15" hidden="false" customHeight="true" outlineLevel="0" collapsed="false">
      <c r="B958" s="4"/>
      <c r="M958" s="4"/>
    </row>
    <row r="959" customFormat="false" ht="15" hidden="false" customHeight="true" outlineLevel="0" collapsed="false">
      <c r="B959" s="4"/>
      <c r="M959" s="4"/>
    </row>
    <row r="960" customFormat="false" ht="15" hidden="false" customHeight="true" outlineLevel="0" collapsed="false">
      <c r="B960" s="4"/>
      <c r="M960" s="4"/>
    </row>
    <row r="961" customFormat="false" ht="15" hidden="false" customHeight="true" outlineLevel="0" collapsed="false">
      <c r="B961" s="4"/>
      <c r="M961" s="4"/>
    </row>
    <row r="962" customFormat="false" ht="15" hidden="false" customHeight="true" outlineLevel="0" collapsed="false">
      <c r="B962" s="4"/>
      <c r="M962" s="4"/>
    </row>
    <row r="963" customFormat="false" ht="15" hidden="false" customHeight="true" outlineLevel="0" collapsed="false">
      <c r="B963" s="4"/>
      <c r="M963" s="4"/>
    </row>
    <row r="964" customFormat="false" ht="15" hidden="false" customHeight="true" outlineLevel="0" collapsed="false">
      <c r="B964" s="4"/>
      <c r="M964" s="4"/>
    </row>
    <row r="965" customFormat="false" ht="15" hidden="false" customHeight="true" outlineLevel="0" collapsed="false">
      <c r="B965" s="4"/>
      <c r="M965" s="4"/>
    </row>
    <row r="966" customFormat="false" ht="15" hidden="false" customHeight="true" outlineLevel="0" collapsed="false">
      <c r="B966" s="4"/>
      <c r="M966" s="4"/>
    </row>
    <row r="967" customFormat="false" ht="15" hidden="false" customHeight="true" outlineLevel="0" collapsed="false">
      <c r="B967" s="4"/>
      <c r="M967" s="4"/>
    </row>
    <row r="968" customFormat="false" ht="15" hidden="false" customHeight="true" outlineLevel="0" collapsed="false">
      <c r="B968" s="4"/>
      <c r="M968" s="4"/>
    </row>
    <row r="969" customFormat="false" ht="15" hidden="false" customHeight="true" outlineLevel="0" collapsed="false">
      <c r="B969" s="4"/>
      <c r="M969" s="4"/>
    </row>
    <row r="970" customFormat="false" ht="15" hidden="false" customHeight="true" outlineLevel="0" collapsed="false">
      <c r="B970" s="4"/>
      <c r="M970" s="4"/>
    </row>
    <row r="971" customFormat="false" ht="15" hidden="false" customHeight="true" outlineLevel="0" collapsed="false">
      <c r="B971" s="4"/>
      <c r="M971" s="4"/>
    </row>
    <row r="972" customFormat="false" ht="15" hidden="false" customHeight="true" outlineLevel="0" collapsed="false">
      <c r="B972" s="4"/>
      <c r="M972" s="4"/>
    </row>
    <row r="973" customFormat="false" ht="15" hidden="false" customHeight="true" outlineLevel="0" collapsed="false">
      <c r="B973" s="4"/>
      <c r="M973" s="4"/>
    </row>
    <row r="974" customFormat="false" ht="15" hidden="false" customHeight="true" outlineLevel="0" collapsed="false">
      <c r="B974" s="4"/>
      <c r="M974" s="4"/>
    </row>
    <row r="975" customFormat="false" ht="15" hidden="false" customHeight="true" outlineLevel="0" collapsed="false">
      <c r="B975" s="4"/>
      <c r="M975" s="4"/>
    </row>
    <row r="976" customFormat="false" ht="15" hidden="false" customHeight="true" outlineLevel="0" collapsed="false">
      <c r="B976" s="4"/>
      <c r="M976" s="4"/>
    </row>
    <row r="977" customFormat="false" ht="15" hidden="false" customHeight="true" outlineLevel="0" collapsed="false">
      <c r="B977" s="4"/>
      <c r="M977" s="4"/>
    </row>
    <row r="978" customFormat="false" ht="15" hidden="false" customHeight="true" outlineLevel="0" collapsed="false">
      <c r="B978" s="4"/>
      <c r="M978" s="4"/>
    </row>
    <row r="979" customFormat="false" ht="15" hidden="false" customHeight="true" outlineLevel="0" collapsed="false">
      <c r="B979" s="4"/>
      <c r="M979" s="4"/>
    </row>
    <row r="980" customFormat="false" ht="15" hidden="false" customHeight="true" outlineLevel="0" collapsed="false">
      <c r="B980" s="4"/>
      <c r="M980" s="4"/>
    </row>
    <row r="981" customFormat="false" ht="15" hidden="false" customHeight="true" outlineLevel="0" collapsed="false">
      <c r="B981" s="4"/>
      <c r="M981" s="4"/>
    </row>
    <row r="982" customFormat="false" ht="15" hidden="false" customHeight="true" outlineLevel="0" collapsed="false">
      <c r="B982" s="4"/>
      <c r="M982" s="4"/>
    </row>
    <row r="983" customFormat="false" ht="15" hidden="false" customHeight="true" outlineLevel="0" collapsed="false">
      <c r="B983" s="4"/>
      <c r="M983" s="4"/>
    </row>
    <row r="984" customFormat="false" ht="15" hidden="false" customHeight="true" outlineLevel="0" collapsed="false">
      <c r="B984" s="4"/>
      <c r="M984" s="4"/>
    </row>
    <row r="985" customFormat="false" ht="15" hidden="false" customHeight="true" outlineLevel="0" collapsed="false">
      <c r="B985" s="4"/>
      <c r="M985" s="4"/>
    </row>
    <row r="986" customFormat="false" ht="15" hidden="false" customHeight="true" outlineLevel="0" collapsed="false">
      <c r="B986" s="4"/>
      <c r="M986" s="4"/>
    </row>
    <row r="987" customFormat="false" ht="15" hidden="false" customHeight="true" outlineLevel="0" collapsed="false">
      <c r="B987" s="4"/>
      <c r="M987" s="4"/>
    </row>
    <row r="988" customFormat="false" ht="15" hidden="false" customHeight="true" outlineLevel="0" collapsed="false">
      <c r="B988" s="4"/>
      <c r="M988" s="4"/>
    </row>
    <row r="989" customFormat="false" ht="15" hidden="false" customHeight="true" outlineLevel="0" collapsed="false">
      <c r="B989" s="4"/>
      <c r="M989" s="4"/>
    </row>
    <row r="990" customFormat="false" ht="15" hidden="false" customHeight="true" outlineLevel="0" collapsed="false">
      <c r="B990" s="4"/>
      <c r="M990" s="4"/>
    </row>
    <row r="991" customFormat="false" ht="15" hidden="false" customHeight="true" outlineLevel="0" collapsed="false">
      <c r="B991" s="4"/>
      <c r="M991" s="4"/>
    </row>
    <row r="992" customFormat="false" ht="15" hidden="false" customHeight="true" outlineLevel="0" collapsed="false">
      <c r="B992" s="4"/>
      <c r="M992" s="4"/>
    </row>
    <row r="993" customFormat="false" ht="15" hidden="false" customHeight="true" outlineLevel="0" collapsed="false">
      <c r="B993" s="4"/>
      <c r="M993" s="4"/>
    </row>
    <row r="994" customFormat="false" ht="15" hidden="false" customHeight="true" outlineLevel="0" collapsed="false">
      <c r="B994" s="4"/>
      <c r="M994" s="4"/>
    </row>
    <row r="995" customFormat="false" ht="15" hidden="false" customHeight="true" outlineLevel="0" collapsed="false">
      <c r="B995" s="4"/>
      <c r="M995" s="4"/>
    </row>
    <row r="996" customFormat="false" ht="15" hidden="false" customHeight="true" outlineLevel="0" collapsed="false">
      <c r="B996" s="4"/>
      <c r="M996" s="4"/>
    </row>
    <row r="997" customFormat="false" ht="15" hidden="false" customHeight="true" outlineLevel="0" collapsed="false">
      <c r="B997" s="4"/>
      <c r="M997" s="4"/>
    </row>
    <row r="998" customFormat="false" ht="15" hidden="false" customHeight="true" outlineLevel="0" collapsed="false">
      <c r="B998" s="4"/>
      <c r="M998" s="4"/>
    </row>
    <row r="999" customFormat="false" ht="15" hidden="false" customHeight="true" outlineLevel="0" collapsed="false">
      <c r="B999" s="4"/>
      <c r="M999" s="4"/>
    </row>
    <row r="1000" customFormat="false" ht="15" hidden="false" customHeight="true" outlineLevel="0" collapsed="false">
      <c r="B1000" s="4"/>
      <c r="M1000" s="4"/>
    </row>
  </sheetData>
  <autoFilter ref="A1:W1"/>
  <conditionalFormatting sqref="N2:N1000">
    <cfRule type="cellIs" priority="2" operator="equal" aboveAverage="0" equalAverage="0" bottom="0" percent="0" rank="0" text="" dxfId="3">
      <formula>"Aprovado"</formula>
    </cfRule>
    <cfRule type="cellIs" priority="3" operator="equal" aboveAverage="0" equalAverage="0" bottom="0" percent="0" rank="0" text="" dxfId="4">
      <formula>"Descartado"</formula>
    </cfRule>
    <cfRule type="cellIs" priority="4" operator="equal" aboveAverage="0" equalAverage="0" bottom="0" percent="0" rank="0" text="" dxfId="5">
      <formula>"Talvez"</formula>
    </cfRule>
  </conditionalFormatting>
  <dataValidations count="4">
    <dataValidation allowBlank="true" error="Selecione um status válido" errorStyle="stop" errorTitle="Status inválido" operator="between" showDropDown="false" showErrorMessage="false" showInputMessage="false" sqref="M2:M1000" type="list">
      <formula1>"Encontrado,Aprovado,Conexão Enviada,Conectado,Msg 1 Enviada,Follow-up 1,Follow-up 2,Respondeu - Interesse,Respondeu - Sem Interesse,Entrevista Agendada,Rejeitado,Sem Resposta"</formula1>
      <formula2>0</formula2>
    </dataValidation>
    <dataValidation allowBlank="true" errorStyle="stop" operator="between" showDropDown="false" showErrorMessage="false" showInputMessage="false" sqref="B2:B1000" type="list">
      <formula1>"Business Development,Growth Generalist,GTM Engineer"</formula1>
      <formula2>0</formula2>
    </dataValidation>
    <dataValidation allowBlank="true" errorStyle="stop" operator="between" showDropDown="false" showErrorMessage="false" showInputMessage="false" sqref="U2:U1000" type="list">
      <formula1>"Interesse,Sem Interesse,Pediu Info,Indicou Alguém,Outro"</formula1>
      <formula2>0</formula2>
    </dataValidation>
    <dataValidation allowBlank="true" error="Selecione: Pendente, Aprovado, Descartado ou Talvez" errorStyle="stop" errorTitle="Valor inválido" operator="between" prompt="Selecione a decisão sobre este candidato" promptTitle="Decisão Gestor" showDropDown="false" showErrorMessage="false" showInputMessage="false" sqref="N2:N1000" type="list">
      <formula1>"Pendente,Aprovado,Descartado,Talvez"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80"/>
    <col collapsed="false" customWidth="true" hidden="false" outlineLevel="0" max="4" min="4" style="1" width="30"/>
    <col collapsed="false" customWidth="true" hidden="false" outlineLevel="0" max="5" min="5" style="1" width="18"/>
  </cols>
  <sheetData>
    <row r="1" customFormat="false" ht="15" hidden="false" customHeight="true" outlineLevel="0" collapsed="false">
      <c r="A1" s="2" t="s">
        <v>1</v>
      </c>
      <c r="B1" s="2" t="s">
        <v>106</v>
      </c>
      <c r="C1" s="2" t="s">
        <v>107</v>
      </c>
      <c r="D1" s="2" t="s">
        <v>108</v>
      </c>
      <c r="E1" s="2" t="s">
        <v>109</v>
      </c>
    </row>
    <row r="2" customFormat="false" ht="34.5" hidden="false" customHeight="true" outlineLevel="0" collapsed="false">
      <c r="A2" s="6" t="s">
        <v>25</v>
      </c>
      <c r="B2" s="6" t="s">
        <v>110</v>
      </c>
      <c r="C2" s="6" t="s">
        <v>111</v>
      </c>
      <c r="D2" s="6" t="s">
        <v>112</v>
      </c>
      <c r="E2" s="6" t="s">
        <v>35</v>
      </c>
    </row>
    <row r="3" customFormat="false" ht="34.5" hidden="false" customHeight="true" outlineLevel="0" collapsed="false">
      <c r="A3" s="6" t="s">
        <v>25</v>
      </c>
      <c r="B3" s="6" t="s">
        <v>113</v>
      </c>
      <c r="C3" s="6" t="s">
        <v>114</v>
      </c>
      <c r="D3" s="6" t="s">
        <v>112</v>
      </c>
      <c r="E3" s="6" t="s">
        <v>35</v>
      </c>
    </row>
    <row r="4" customFormat="false" ht="23.25" hidden="false" customHeight="true" outlineLevel="0" collapsed="false">
      <c r="A4" s="6" t="s">
        <v>25</v>
      </c>
      <c r="B4" s="6" t="s">
        <v>115</v>
      </c>
      <c r="C4" s="6" t="s">
        <v>116</v>
      </c>
      <c r="D4" s="6" t="s">
        <v>112</v>
      </c>
      <c r="E4" s="6" t="s">
        <v>35</v>
      </c>
    </row>
    <row r="5" customFormat="false" ht="34.5" hidden="false" customHeight="true" outlineLevel="0" collapsed="false">
      <c r="A5" s="6" t="s">
        <v>57</v>
      </c>
      <c r="B5" s="6" t="s">
        <v>110</v>
      </c>
      <c r="C5" s="6" t="s">
        <v>117</v>
      </c>
      <c r="D5" s="6" t="s">
        <v>112</v>
      </c>
      <c r="E5" s="6" t="s">
        <v>35</v>
      </c>
    </row>
    <row r="6" customFormat="false" ht="23.25" hidden="false" customHeight="true" outlineLevel="0" collapsed="false">
      <c r="A6" s="6" t="s">
        <v>57</v>
      </c>
      <c r="B6" s="6" t="s">
        <v>113</v>
      </c>
      <c r="C6" s="6" t="s">
        <v>118</v>
      </c>
      <c r="D6" s="6" t="s">
        <v>112</v>
      </c>
      <c r="E6" s="6" t="s">
        <v>35</v>
      </c>
    </row>
    <row r="7" customFormat="false" ht="23.25" hidden="false" customHeight="true" outlineLevel="0" collapsed="false">
      <c r="A7" s="6" t="s">
        <v>57</v>
      </c>
      <c r="B7" s="6" t="s">
        <v>115</v>
      </c>
      <c r="C7" s="6" t="s">
        <v>119</v>
      </c>
      <c r="D7" s="6" t="s">
        <v>112</v>
      </c>
      <c r="E7" s="6" t="s">
        <v>35</v>
      </c>
    </row>
    <row r="8" customFormat="false" ht="34.5" hidden="false" customHeight="true" outlineLevel="0" collapsed="false">
      <c r="A8" s="6" t="s">
        <v>82</v>
      </c>
      <c r="B8" s="6" t="s">
        <v>110</v>
      </c>
      <c r="C8" s="6" t="s">
        <v>120</v>
      </c>
      <c r="D8" s="6" t="s">
        <v>112</v>
      </c>
      <c r="E8" s="6" t="s">
        <v>35</v>
      </c>
    </row>
    <row r="9" customFormat="false" ht="23.25" hidden="false" customHeight="true" outlineLevel="0" collapsed="false">
      <c r="A9" s="6" t="s">
        <v>82</v>
      </c>
      <c r="B9" s="6" t="s">
        <v>113</v>
      </c>
      <c r="C9" s="6" t="s">
        <v>121</v>
      </c>
      <c r="D9" s="6" t="s">
        <v>112</v>
      </c>
      <c r="E9" s="6" t="s">
        <v>35</v>
      </c>
    </row>
    <row r="10" customFormat="false" ht="23.25" hidden="false" customHeight="true" outlineLevel="0" collapsed="false">
      <c r="A10" s="6" t="s">
        <v>82</v>
      </c>
      <c r="B10" s="6" t="s">
        <v>115</v>
      </c>
      <c r="C10" s="6" t="s">
        <v>122</v>
      </c>
      <c r="D10" s="6" t="s">
        <v>112</v>
      </c>
      <c r="E10" s="6" t="s">
        <v>35</v>
      </c>
    </row>
  </sheetData>
  <dataValidations count="1">
    <dataValidation allowBlank="true" errorStyle="stop" operator="between" showDropDown="false" showErrorMessage="false" showInputMessage="false" sqref="E2:E100" type="list">
      <formula1>"Pendente,Aprovado,Rejeitado"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22"/>
  </cols>
  <sheetData>
    <row r="1" customFormat="false" ht="15" hidden="false" customHeight="true" outlineLevel="0" collapsed="false">
      <c r="A1" s="7" t="s">
        <v>123</v>
      </c>
      <c r="B1" s="7" t="s">
        <v>25</v>
      </c>
      <c r="C1" s="7" t="s">
        <v>57</v>
      </c>
      <c r="D1" s="7" t="s">
        <v>82</v>
      </c>
      <c r="E1" s="7" t="s">
        <v>124</v>
      </c>
    </row>
    <row r="2" customFormat="false" ht="15" hidden="false" customHeight="true" outlineLevel="0" collapsed="false">
      <c r="A2" s="8" t="s">
        <v>125</v>
      </c>
      <c r="B2" s="9" t="n">
        <f aca="false">COUNTIFS(Pipeline!B2:B1000,"Business Development")</f>
        <v>4</v>
      </c>
      <c r="C2" s="9" t="n">
        <f aca="false">COUNTIFS(Pipeline!B2:B1000,"Growth Generalist")</f>
        <v>4</v>
      </c>
      <c r="D2" s="9" t="n">
        <f aca="false">COUNTIFS(Pipeline!B2:B1000,"GTM Engineer")</f>
        <v>4</v>
      </c>
      <c r="E2" s="9" t="n">
        <f aca="false">SUM(B2:D2)</f>
        <v>12</v>
      </c>
    </row>
    <row r="3" customFormat="false" ht="15" hidden="false" customHeight="true" outlineLevel="0" collapsed="false">
      <c r="A3" s="8" t="s">
        <v>126</v>
      </c>
      <c r="B3" s="9" t="n">
        <f aca="false">COUNTIFS(Pipeline!B2:B1000,"Business Development",Pipeline!N2:N1000,"Aprovado")</f>
        <v>0</v>
      </c>
      <c r="C3" s="9" t="n">
        <f aca="false">COUNTIFS(Pipeline!B2:B1000,"Growth Generalist",Pipeline!N2:N1000,"Aprovado")</f>
        <v>0</v>
      </c>
      <c r="D3" s="9" t="n">
        <f aca="false">COUNTIFS(Pipeline!B2:B1000,"GTM Engineer",Pipeline!N2:N1000,"Aprovado")</f>
        <v>0</v>
      </c>
      <c r="E3" s="9" t="n">
        <f aca="false">SUM(B3:D3)</f>
        <v>0</v>
      </c>
    </row>
    <row r="4" customFormat="false" ht="15" hidden="false" customHeight="true" outlineLevel="0" collapsed="false">
      <c r="A4" s="8" t="s">
        <v>127</v>
      </c>
      <c r="B4" s="9" t="n">
        <v>0</v>
      </c>
      <c r="C4" s="9" t="n">
        <v>0</v>
      </c>
      <c r="D4" s="9" t="n">
        <v>0</v>
      </c>
      <c r="E4" s="9" t="n">
        <v>0</v>
      </c>
    </row>
    <row r="5" customFormat="false" ht="15" hidden="false" customHeight="true" outlineLevel="0" collapsed="false">
      <c r="A5" s="8" t="s">
        <v>128</v>
      </c>
      <c r="B5" s="9" t="n">
        <v>0</v>
      </c>
      <c r="C5" s="9" t="n">
        <v>0</v>
      </c>
      <c r="D5" s="9" t="n">
        <v>0</v>
      </c>
      <c r="E5" s="9" t="n">
        <v>0</v>
      </c>
    </row>
    <row r="6" customFormat="false" ht="15" hidden="false" customHeight="true" outlineLevel="0" collapsed="false">
      <c r="A6" s="8" t="s">
        <v>18</v>
      </c>
      <c r="B6" s="9" t="n">
        <v>0</v>
      </c>
      <c r="C6" s="9" t="n">
        <v>0</v>
      </c>
      <c r="D6" s="9" t="n">
        <v>0</v>
      </c>
      <c r="E6" s="9" t="n">
        <v>0</v>
      </c>
    </row>
    <row r="7" customFormat="false" ht="15" hidden="false" customHeight="true" outlineLevel="0" collapsed="false">
      <c r="A7" s="8" t="s">
        <v>129</v>
      </c>
      <c r="B7" s="9" t="n">
        <v>0</v>
      </c>
      <c r="C7" s="9" t="n">
        <v>0</v>
      </c>
      <c r="D7" s="9" t="n">
        <v>0</v>
      </c>
      <c r="E7" s="9" t="n">
        <v>0</v>
      </c>
    </row>
    <row r="8" customFormat="false" ht="15" hidden="false" customHeight="true" outlineLevel="0" collapsed="false">
      <c r="A8" s="8" t="s">
        <v>130</v>
      </c>
      <c r="B8" s="9" t="n">
        <v>0</v>
      </c>
      <c r="C8" s="9" t="n">
        <v>0</v>
      </c>
      <c r="D8" s="9" t="n">
        <v>0</v>
      </c>
      <c r="E8" s="9" t="n">
        <v>0</v>
      </c>
    </row>
    <row r="9" customFormat="false" ht="15" hidden="false" customHeight="true" outlineLevel="0" collapsed="false">
      <c r="A9" s="8" t="s">
        <v>131</v>
      </c>
      <c r="B9" s="9" t="n">
        <v>0</v>
      </c>
      <c r="C9" s="9" t="n">
        <v>0</v>
      </c>
      <c r="D9" s="9" t="n">
        <v>0</v>
      </c>
      <c r="E9" s="9" t="n">
        <v>0</v>
      </c>
    </row>
    <row r="10" customFormat="false" ht="15" hidden="false" customHeight="true" outlineLevel="0" collapsed="false">
      <c r="A10" s="8" t="s">
        <v>132</v>
      </c>
      <c r="B10" s="9" t="n">
        <v>0</v>
      </c>
      <c r="C10" s="9" t="n">
        <v>0</v>
      </c>
      <c r="D10" s="9" t="n">
        <v>0</v>
      </c>
      <c r="E10" s="9" t="n">
        <v>0</v>
      </c>
    </row>
    <row r="11" customFormat="false" ht="15" hidden="false" customHeight="true" outlineLevel="0" collapsed="false">
      <c r="A11" s="8" t="s">
        <v>133</v>
      </c>
      <c r="B11" s="9" t="n">
        <v>0</v>
      </c>
      <c r="C11" s="9" t="n">
        <v>0</v>
      </c>
      <c r="D11" s="9" t="n">
        <v>0</v>
      </c>
      <c r="E11" s="9" t="n">
        <v>0</v>
      </c>
    </row>
    <row r="12" customFormat="false" ht="15" hidden="false" customHeight="true" outlineLevel="0" collapsed="false">
      <c r="A12" s="8" t="s">
        <v>134</v>
      </c>
      <c r="B12" s="9" t="n">
        <v>0</v>
      </c>
      <c r="C12" s="9" t="n">
        <v>0</v>
      </c>
      <c r="D12" s="9" t="n">
        <v>0</v>
      </c>
      <c r="E12" s="9" t="n">
        <v>0</v>
      </c>
    </row>
    <row r="13" customFormat="false" ht="15" hidden="false" customHeight="true" outlineLevel="0" collapsed="false">
      <c r="A13" s="8" t="s">
        <v>135</v>
      </c>
      <c r="B13" s="9" t="n">
        <v>0</v>
      </c>
      <c r="C13" s="9" t="n">
        <v>0</v>
      </c>
      <c r="D13" s="9" t="n">
        <v>0</v>
      </c>
      <c r="E13" s="9" t="n">
        <v>0</v>
      </c>
    </row>
    <row r="14" customFormat="false" ht="15" hidden="false" customHeight="true" outlineLevel="0" collapsed="false">
      <c r="A14" s="8" t="s">
        <v>136</v>
      </c>
      <c r="B14" s="9" t="n">
        <v>0</v>
      </c>
      <c r="C14" s="9" t="n">
        <v>0</v>
      </c>
      <c r="D14" s="9" t="n">
        <v>0</v>
      </c>
      <c r="E14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4" min="4" style="1" width="22"/>
    <col collapsed="false" customWidth="true" hidden="false" outlineLevel="0" max="5" min="5" style="1" width="40"/>
    <col collapsed="false" customWidth="true" hidden="false" outlineLevel="0" max="6" min="6" style="1" width="20"/>
  </cols>
  <sheetData>
    <row r="1" customFormat="false" ht="15" hidden="false" customHeight="true" outlineLevel="0" collapsed="false">
      <c r="A1" s="7" t="s">
        <v>137</v>
      </c>
      <c r="B1" s="7" t="s">
        <v>138</v>
      </c>
      <c r="C1" s="7" t="s">
        <v>139</v>
      </c>
      <c r="D1" s="7" t="s">
        <v>1</v>
      </c>
      <c r="E1" s="7" t="s">
        <v>140</v>
      </c>
      <c r="F1" s="7" t="s">
        <v>141</v>
      </c>
    </row>
    <row r="2" customFormat="false" ht="15" hidden="false" customHeight="true" outlineLevel="0" collapsed="false">
      <c r="A2" s="1" t="s">
        <v>142</v>
      </c>
      <c r="B2" s="1" t="s">
        <v>143</v>
      </c>
      <c r="C2" s="1" t="s">
        <v>144</v>
      </c>
      <c r="D2" s="1" t="s">
        <v>25</v>
      </c>
      <c r="E2" s="1" t="s">
        <v>145</v>
      </c>
      <c r="F2" s="1" t="s">
        <v>146</v>
      </c>
    </row>
    <row r="3" customFormat="false" ht="15" hidden="false" customHeight="true" outlineLevel="0" collapsed="false">
      <c r="A3" s="1" t="s">
        <v>142</v>
      </c>
      <c r="B3" s="1" t="s">
        <v>143</v>
      </c>
      <c r="C3" s="1" t="s">
        <v>144</v>
      </c>
      <c r="D3" s="1" t="s">
        <v>57</v>
      </c>
      <c r="E3" s="1" t="s">
        <v>147</v>
      </c>
      <c r="F3" s="1" t="s">
        <v>146</v>
      </c>
    </row>
    <row r="4" customFormat="false" ht="15" hidden="false" customHeight="true" outlineLevel="0" collapsed="false">
      <c r="A4" s="1" t="s">
        <v>142</v>
      </c>
      <c r="B4" s="1" t="s">
        <v>143</v>
      </c>
      <c r="C4" s="1" t="s">
        <v>144</v>
      </c>
      <c r="D4" s="1" t="s">
        <v>82</v>
      </c>
      <c r="E4" s="1" t="s">
        <v>148</v>
      </c>
      <c r="F4" s="1" t="s">
        <v>146</v>
      </c>
    </row>
    <row r="5" customFormat="false" ht="15" hidden="false" customHeight="true" outlineLevel="0" collapsed="false">
      <c r="A5" s="1" t="s">
        <v>142</v>
      </c>
      <c r="B5" s="1" t="s">
        <v>149</v>
      </c>
      <c r="C5" s="1" t="s">
        <v>26</v>
      </c>
      <c r="D5" s="1" t="s">
        <v>25</v>
      </c>
      <c r="E5" s="1" t="s">
        <v>150</v>
      </c>
      <c r="F5" s="1" t="s">
        <v>151</v>
      </c>
    </row>
    <row r="6" customFormat="false" ht="15" hidden="false" customHeight="true" outlineLevel="0" collapsed="false">
      <c r="A6" s="1" t="s">
        <v>142</v>
      </c>
      <c r="B6" s="1" t="s">
        <v>149</v>
      </c>
      <c r="C6" s="1" t="s">
        <v>37</v>
      </c>
      <c r="D6" s="1" t="s">
        <v>25</v>
      </c>
      <c r="E6" s="1" t="s">
        <v>152</v>
      </c>
      <c r="F6" s="1" t="s">
        <v>153</v>
      </c>
    </row>
    <row r="7" customFormat="false" ht="15" hidden="false" customHeight="true" outlineLevel="0" collapsed="false">
      <c r="A7" s="1" t="s">
        <v>142</v>
      </c>
      <c r="B7" s="1" t="s">
        <v>149</v>
      </c>
      <c r="C7" s="1" t="s">
        <v>58</v>
      </c>
      <c r="D7" s="1" t="s">
        <v>57</v>
      </c>
      <c r="E7" s="1" t="s">
        <v>154</v>
      </c>
      <c r="F7" s="1" t="s">
        <v>153</v>
      </c>
    </row>
    <row r="8" customFormat="false" ht="15" hidden="false" customHeight="true" outlineLevel="0" collapsed="false">
      <c r="A8" s="1" t="s">
        <v>142</v>
      </c>
      <c r="B8" s="1" t="s">
        <v>149</v>
      </c>
      <c r="C8" s="1" t="s">
        <v>75</v>
      </c>
      <c r="D8" s="1" t="s">
        <v>57</v>
      </c>
      <c r="E8" s="1" t="s">
        <v>155</v>
      </c>
      <c r="F8" s="1" t="s">
        <v>156</v>
      </c>
    </row>
    <row r="9" customFormat="false" ht="15" hidden="false" customHeight="true" outlineLevel="0" collapsed="false">
      <c r="A9" s="1" t="s">
        <v>142</v>
      </c>
      <c r="B9" s="1" t="s">
        <v>149</v>
      </c>
      <c r="C9" s="1" t="s">
        <v>83</v>
      </c>
      <c r="D9" s="1" t="s">
        <v>82</v>
      </c>
      <c r="E9" s="1" t="s">
        <v>157</v>
      </c>
      <c r="F9" s="1" t="s">
        <v>158</v>
      </c>
    </row>
    <row r="10" customFormat="false" ht="15" hidden="false" customHeight="true" outlineLevel="0" collapsed="false">
      <c r="A10" s="1" t="s">
        <v>142</v>
      </c>
      <c r="B10" s="1" t="s">
        <v>159</v>
      </c>
      <c r="C10" s="1" t="s">
        <v>144</v>
      </c>
      <c r="D10" s="1" t="s">
        <v>160</v>
      </c>
      <c r="E10" s="1" t="s">
        <v>161</v>
      </c>
      <c r="F10" s="1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5" hidden="false" customHeight="true" outlineLevel="0" collapsed="false">
      <c r="A1" s="10" t="s">
        <v>163</v>
      </c>
      <c r="B1" s="7" t="s">
        <v>164</v>
      </c>
      <c r="C1" s="10" t="s">
        <v>165</v>
      </c>
    </row>
    <row r="2" customFormat="false" ht="15" hidden="false" customHeight="true" outlineLevel="0" collapsed="false">
      <c r="A2" s="11" t="s">
        <v>166</v>
      </c>
      <c r="B2" s="12" t="n">
        <v>25</v>
      </c>
      <c r="C2" s="11" t="s">
        <v>167</v>
      </c>
    </row>
    <row r="3" customFormat="false" ht="15" hidden="false" customHeight="true" outlineLevel="0" collapsed="false">
      <c r="A3" s="11" t="s">
        <v>168</v>
      </c>
      <c r="B3" s="12" t="n">
        <v>25</v>
      </c>
      <c r="C3" s="11" t="s">
        <v>169</v>
      </c>
    </row>
    <row r="4" customFormat="false" ht="15" hidden="false" customHeight="true" outlineLevel="0" collapsed="false">
      <c r="A4" s="11" t="s">
        <v>170</v>
      </c>
      <c r="B4" s="12" t="n">
        <v>45</v>
      </c>
      <c r="C4" s="11" t="s">
        <v>171</v>
      </c>
    </row>
    <row r="5" customFormat="false" ht="15" hidden="false" customHeight="true" outlineLevel="0" collapsed="false">
      <c r="A5" s="11" t="s">
        <v>172</v>
      </c>
      <c r="B5" s="12" t="n">
        <v>3</v>
      </c>
      <c r="C5" s="11" t="s">
        <v>173</v>
      </c>
    </row>
    <row r="6" customFormat="false" ht="15" hidden="false" customHeight="true" outlineLevel="0" collapsed="false">
      <c r="A6" s="11" t="s">
        <v>174</v>
      </c>
      <c r="B6" s="12" t="n">
        <v>5</v>
      </c>
      <c r="C6" s="11" t="s">
        <v>175</v>
      </c>
    </row>
    <row r="7" customFormat="false" ht="15" hidden="false" customHeight="true" outlineLevel="0" collapsed="false">
      <c r="A7" s="11" t="s">
        <v>176</v>
      </c>
      <c r="B7" s="12" t="n">
        <v>7</v>
      </c>
      <c r="C7" s="11" t="s">
        <v>177</v>
      </c>
    </row>
    <row r="8" customFormat="false" ht="15" hidden="false" customHeight="true" outlineLevel="0" collapsed="false">
      <c r="A8" s="11" t="s">
        <v>178</v>
      </c>
      <c r="B8" s="12" t="s">
        <v>179</v>
      </c>
      <c r="C8" s="11" t="s">
        <v>180</v>
      </c>
    </row>
    <row r="9" customFormat="false" ht="15" hidden="false" customHeight="true" outlineLevel="0" collapsed="false">
      <c r="A9" s="11" t="s">
        <v>181</v>
      </c>
      <c r="B9" s="12" t="s">
        <v>182</v>
      </c>
      <c r="C9" s="11" t="s">
        <v>183</v>
      </c>
    </row>
    <row r="10" customFormat="false" ht="15" hidden="false" customHeight="true" outlineLevel="0" collapsed="false">
      <c r="A10" s="11" t="s">
        <v>184</v>
      </c>
      <c r="B10" s="12" t="s">
        <v>185</v>
      </c>
      <c r="C10" s="11" t="s">
        <v>186</v>
      </c>
    </row>
    <row r="11" customFormat="false" ht="15" hidden="false" customHeight="true" outlineLevel="0" collapsed="false">
      <c r="A11" s="11" t="s">
        <v>187</v>
      </c>
      <c r="B11" s="12" t="s">
        <v>188</v>
      </c>
      <c r="C11" s="11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2026-03-03T13:31:30Z</dcterms:created>
  <dc:creator>openpyxl</dc:creator>
  <dc:description/>
  <dc:language>en-US</dc:language>
  <cp:lastModifiedBy/>
  <dcterms:modified xsi:type="dcterms:W3CDTF">2026-03-03T16:26:49Z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